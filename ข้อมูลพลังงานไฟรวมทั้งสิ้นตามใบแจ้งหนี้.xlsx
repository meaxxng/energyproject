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ค่าไฟฟ้าและค่าน้ำประปาย้อนหลังจากคลังตั้งแต่ปี44ถึงปัจจุบัน\ข้อมูลค่าไฟค่าน้ำส่งให้น้องมาร์ค EESH ตั้งแต่ 25พย67\ค่าไฟทุกพื้นที่ปีงปม 2566ถึง2569 ตค68ถึงกย69\"/>
    </mc:Choice>
  </mc:AlternateContent>
  <xr:revisionPtr revIDLastSave="0" documentId="13_ncr:1_{CE951123-4398-4A24-B6F6-90550E38139B}" xr6:coauthVersionLast="47" xr6:coauthVersionMax="47" xr10:uidLastSave="{00000000-0000-0000-0000-000000000000}"/>
  <bookViews>
    <workbookView xWindow="10764" yWindow="228" windowWidth="12168" windowHeight="12384" tabRatio="685" activeTab="4" xr2:uid="{52907346-9852-4A6C-9082-D6F427234341}"/>
  </bookViews>
  <sheets>
    <sheet name="ภาพรวม" sheetId="1" r:id="rId1"/>
    <sheet name="บางมด" sheetId="13" r:id="rId2"/>
    <sheet name="บางขุนเทียน" sheetId="14" r:id="rId3"/>
    <sheet name="ราชบุรี" sheetId="16" r:id="rId4"/>
    <sheet name="KX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15" l="1"/>
  <c r="Z7" i="15"/>
  <c r="AA8" i="15"/>
  <c r="Z8" i="15"/>
  <c r="D47" i="16"/>
  <c r="AB47" i="16"/>
  <c r="AA47" i="16"/>
  <c r="Z47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C46" i="16"/>
  <c r="AB46" i="16"/>
  <c r="AC45" i="16"/>
  <c r="AB45" i="16"/>
  <c r="AC44" i="16"/>
  <c r="AB44" i="16"/>
  <c r="AC43" i="16"/>
  <c r="AB43" i="16"/>
  <c r="AC42" i="16"/>
  <c r="AB42" i="16"/>
  <c r="AC41" i="16"/>
  <c r="AB41" i="16"/>
  <c r="AC40" i="16"/>
  <c r="AB40" i="16"/>
  <c r="AA7" i="14"/>
  <c r="AA8" i="14" s="1"/>
  <c r="Z7" i="14"/>
  <c r="Z8" i="14" s="1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C47" i="16" l="1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D90" i="13"/>
  <c r="AC89" i="13"/>
  <c r="AB89" i="13"/>
  <c r="AC88" i="13"/>
  <c r="AB88" i="13"/>
  <c r="AC87" i="13"/>
  <c r="AB87" i="13"/>
  <c r="AC86" i="13"/>
  <c r="AB86" i="13"/>
  <c r="AC85" i="13"/>
  <c r="AB85" i="13"/>
  <c r="AC84" i="13"/>
  <c r="AB84" i="13"/>
  <c r="AC83" i="13"/>
  <c r="AB83" i="13"/>
  <c r="AC82" i="13"/>
  <c r="AB82" i="13"/>
  <c r="AC81" i="13"/>
  <c r="AB81" i="13"/>
  <c r="AC80" i="13"/>
  <c r="AB80" i="13"/>
  <c r="AC79" i="13"/>
  <c r="AB79" i="13"/>
  <c r="AC78" i="13"/>
  <c r="AB78" i="13"/>
  <c r="AC77" i="13"/>
  <c r="AB77" i="13"/>
  <c r="AC76" i="13"/>
  <c r="AB76" i="13"/>
  <c r="AC75" i="13"/>
  <c r="AB75" i="13"/>
  <c r="AC74" i="13"/>
  <c r="AB74" i="13"/>
  <c r="AC73" i="13"/>
  <c r="AB73" i="13"/>
  <c r="AB90" i="13" l="1"/>
  <c r="AC90" i="13"/>
  <c r="AC149" i="1" l="1"/>
  <c r="AB149" i="1"/>
  <c r="AC146" i="1"/>
  <c r="AB146" i="1"/>
  <c r="AC145" i="1"/>
  <c r="AB145" i="1"/>
  <c r="AC144" i="1"/>
  <c r="AB144" i="1"/>
  <c r="AC143" i="1"/>
  <c r="AB143" i="1"/>
  <c r="AC142" i="1"/>
  <c r="AB142" i="1"/>
  <c r="AC141" i="1"/>
  <c r="AB141" i="1"/>
  <c r="AC140" i="1"/>
  <c r="AB140" i="1"/>
  <c r="AC139" i="1"/>
  <c r="AB139" i="1"/>
  <c r="AC138" i="1"/>
  <c r="AB138" i="1"/>
  <c r="AC137" i="1"/>
  <c r="AB137" i="1"/>
  <c r="AC136" i="1"/>
  <c r="AB136" i="1"/>
  <c r="AC135" i="1"/>
  <c r="AB135" i="1"/>
  <c r="AC134" i="1"/>
  <c r="AB134" i="1"/>
  <c r="AC133" i="1"/>
  <c r="AB133" i="1"/>
  <c r="AC132" i="1"/>
  <c r="AB132" i="1"/>
  <c r="AC131" i="1"/>
  <c r="AB131" i="1"/>
  <c r="AC130" i="1"/>
  <c r="AB130" i="1"/>
  <c r="AC129" i="1"/>
  <c r="AB129" i="1"/>
  <c r="AC128" i="1"/>
  <c r="AB128" i="1"/>
  <c r="AC127" i="1"/>
  <c r="AB127" i="1"/>
  <c r="AC126" i="1"/>
  <c r="AB126" i="1"/>
  <c r="AC125" i="1"/>
  <c r="AB125" i="1"/>
  <c r="AC124" i="1"/>
  <c r="AB124" i="1"/>
  <c r="AC123" i="1"/>
  <c r="AB123" i="1"/>
  <c r="AC122" i="1"/>
  <c r="AB122" i="1"/>
  <c r="AC121" i="1"/>
  <c r="AB121" i="1"/>
  <c r="AC120" i="1"/>
  <c r="AB120" i="1"/>
  <c r="AC119" i="1"/>
  <c r="AB119" i="1"/>
  <c r="AC118" i="1"/>
  <c r="AB118" i="1"/>
  <c r="AC33" i="16"/>
  <c r="AC34" i="16" s="1"/>
  <c r="AB33" i="16"/>
  <c r="AB34" i="16" s="1"/>
  <c r="AA34" i="16"/>
  <c r="Z34" i="16"/>
  <c r="AC106" i="1"/>
  <c r="AB106" i="1"/>
  <c r="AA106" i="1"/>
  <c r="Z106" i="1"/>
  <c r="AC105" i="1"/>
  <c r="AB105" i="1"/>
  <c r="AC32" i="16"/>
  <c r="AB32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AC147" i="1" l="1"/>
  <c r="AB147" i="1"/>
  <c r="AC29" i="16"/>
  <c r="AB29" i="16"/>
  <c r="Y106" i="1"/>
  <c r="X106" i="1"/>
  <c r="W106" i="1"/>
  <c r="V106" i="1"/>
  <c r="U106" i="1"/>
  <c r="T106" i="1"/>
  <c r="AC104" i="1"/>
  <c r="AB104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C85" i="1" l="1"/>
  <c r="AB85" i="1"/>
  <c r="AC92" i="1" l="1"/>
  <c r="AC91" i="1"/>
  <c r="AC90" i="1"/>
  <c r="AC89" i="1"/>
  <c r="AC88" i="1"/>
  <c r="AC87" i="1"/>
  <c r="AC103" i="1"/>
  <c r="AC100" i="1"/>
  <c r="AC99" i="1"/>
  <c r="AC98" i="1"/>
  <c r="AC97" i="1"/>
  <c r="AC96" i="1"/>
  <c r="AC95" i="1"/>
  <c r="AC94" i="1"/>
  <c r="AC93" i="1"/>
  <c r="AC86" i="1"/>
  <c r="AC83" i="1"/>
  <c r="AC82" i="1"/>
  <c r="AC81" i="1"/>
  <c r="AC80" i="1"/>
  <c r="AC79" i="1"/>
  <c r="AC78" i="1"/>
  <c r="AB103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3" i="1"/>
  <c r="AB82" i="1"/>
  <c r="AB81" i="1"/>
  <c r="AB80" i="1"/>
  <c r="AB79" i="1"/>
  <c r="AB78" i="1"/>
  <c r="AC77" i="1"/>
  <c r="AB77" i="1"/>
  <c r="X66" i="1" l="1"/>
  <c r="AC108" i="1"/>
  <c r="AA6" i="15" l="1"/>
  <c r="Z6" i="15"/>
  <c r="AA6" i="14"/>
  <c r="Z6" i="14"/>
  <c r="AC31" i="16"/>
  <c r="AB31" i="16"/>
  <c r="AC30" i="16"/>
  <c r="AB30" i="16"/>
  <c r="AC28" i="16"/>
  <c r="AB28" i="16"/>
  <c r="AC27" i="16"/>
  <c r="AB27" i="16"/>
  <c r="AA67" i="13"/>
  <c r="Z67" i="13"/>
  <c r="Y67" i="13"/>
  <c r="X67" i="13"/>
  <c r="W67" i="13"/>
  <c r="V67" i="13"/>
  <c r="U67" i="13"/>
  <c r="T67" i="13"/>
  <c r="S67" i="13"/>
  <c r="R67" i="13"/>
  <c r="Q67" i="13"/>
  <c r="P67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AC66" i="13"/>
  <c r="AB66" i="13"/>
  <c r="AC65" i="13"/>
  <c r="AB65" i="13"/>
  <c r="AC64" i="13"/>
  <c r="AB64" i="13"/>
  <c r="AC63" i="13"/>
  <c r="AB63" i="13"/>
  <c r="AC62" i="13"/>
  <c r="AB62" i="13"/>
  <c r="AC61" i="13"/>
  <c r="AB61" i="13"/>
  <c r="AC60" i="13"/>
  <c r="AB60" i="13"/>
  <c r="AC59" i="13"/>
  <c r="AB59" i="13"/>
  <c r="AC58" i="13"/>
  <c r="AB58" i="13"/>
  <c r="AC57" i="13"/>
  <c r="AB57" i="13"/>
  <c r="AC56" i="13"/>
  <c r="AB56" i="13"/>
  <c r="AC55" i="13"/>
  <c r="AB55" i="13"/>
  <c r="AC54" i="13"/>
  <c r="AB54" i="13"/>
  <c r="AC53" i="13"/>
  <c r="AB53" i="13"/>
  <c r="AC52" i="13"/>
  <c r="AB52" i="13"/>
  <c r="AC51" i="13"/>
  <c r="AB51" i="13"/>
  <c r="AC50" i="13"/>
  <c r="AB50" i="13"/>
  <c r="AB108" i="1"/>
  <c r="AC102" i="1"/>
  <c r="AB102" i="1"/>
  <c r="AC101" i="1"/>
  <c r="AB101" i="1"/>
  <c r="AC84" i="1"/>
  <c r="AB84" i="1"/>
  <c r="AC67" i="1"/>
  <c r="AB67" i="1"/>
  <c r="Z5" i="15"/>
  <c r="AA5" i="15"/>
  <c r="AC61" i="1"/>
  <c r="AB61" i="1"/>
  <c r="AC67" i="13" l="1"/>
  <c r="AB67" i="13"/>
  <c r="AA4" i="15"/>
  <c r="Z4" i="15"/>
  <c r="AB27" i="13"/>
  <c r="AB60" i="1"/>
  <c r="AB64" i="1"/>
  <c r="D44" i="13" l="1"/>
  <c r="Z5" i="14"/>
  <c r="AC43" i="13"/>
  <c r="AB43" i="13"/>
  <c r="AC42" i="13"/>
  <c r="AC41" i="13"/>
  <c r="AC40" i="13"/>
  <c r="AC39" i="13"/>
  <c r="AC38" i="13"/>
  <c r="AC37" i="13"/>
  <c r="AC36" i="13"/>
  <c r="AC35" i="13"/>
  <c r="AC34" i="13"/>
  <c r="AC33" i="13"/>
  <c r="AC32" i="13"/>
  <c r="AC31" i="13"/>
  <c r="AC30" i="13"/>
  <c r="AC29" i="13"/>
  <c r="AC28" i="13"/>
  <c r="AB42" i="13"/>
  <c r="AB41" i="13"/>
  <c r="AB40" i="13"/>
  <c r="AB39" i="13"/>
  <c r="AB38" i="13"/>
  <c r="AB37" i="13"/>
  <c r="AB36" i="13"/>
  <c r="AB35" i="13"/>
  <c r="AB34" i="13"/>
  <c r="AB33" i="13"/>
  <c r="AB32" i="13"/>
  <c r="AB31" i="13"/>
  <c r="AB30" i="13"/>
  <c r="AB29" i="13"/>
  <c r="AB28" i="13"/>
  <c r="AC27" i="13"/>
  <c r="AC64" i="1"/>
  <c r="AC63" i="1"/>
  <c r="AB63" i="1"/>
  <c r="AC62" i="1"/>
  <c r="AB62" i="1"/>
  <c r="AC60" i="1"/>
  <c r="AC59" i="1"/>
  <c r="AB59" i="1"/>
  <c r="AC58" i="1"/>
  <c r="AB58" i="1"/>
  <c r="AC57" i="1"/>
  <c r="AB57" i="1"/>
  <c r="AC56" i="1"/>
  <c r="AB56" i="1"/>
  <c r="AC55" i="1"/>
  <c r="AB55" i="1"/>
  <c r="AC54" i="1"/>
  <c r="AB54" i="1"/>
  <c r="AC53" i="1"/>
  <c r="AB53" i="1"/>
  <c r="AC52" i="1"/>
  <c r="AB52" i="1"/>
  <c r="AC51" i="1"/>
  <c r="AB51" i="1"/>
  <c r="AC50" i="1"/>
  <c r="AB50" i="1"/>
  <c r="AC49" i="1"/>
  <c r="AB49" i="1"/>
  <c r="AC48" i="1"/>
  <c r="AB48" i="1"/>
  <c r="AC47" i="1"/>
  <c r="AB47" i="1"/>
  <c r="AC46" i="1"/>
  <c r="AB46" i="1"/>
  <c r="AC45" i="1"/>
  <c r="AB45" i="1"/>
  <c r="AC44" i="1"/>
  <c r="AB44" i="1"/>
  <c r="AC43" i="1"/>
  <c r="AB43" i="1"/>
  <c r="AC42" i="1"/>
  <c r="AB42" i="1"/>
  <c r="AC41" i="1"/>
  <c r="AB41" i="1"/>
  <c r="AC40" i="1"/>
  <c r="AB40" i="1"/>
  <c r="AC39" i="1"/>
  <c r="AB39" i="1"/>
  <c r="AA21" i="13" l="1"/>
  <c r="Z21" i="13"/>
  <c r="Y21" i="13"/>
  <c r="X21" i="13"/>
  <c r="W21" i="13"/>
  <c r="V21" i="13"/>
  <c r="U21" i="13"/>
  <c r="T21" i="13"/>
  <c r="T23" i="13" s="1"/>
  <c r="AC31" i="1"/>
  <c r="AB31" i="1"/>
  <c r="AA5" i="14" l="1"/>
  <c r="AB20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AC19" i="16"/>
  <c r="AC16" i="16"/>
  <c r="AB16" i="16"/>
  <c r="D21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AC20" i="16"/>
  <c r="AB19" i="16"/>
  <c r="AC18" i="16"/>
  <c r="AB18" i="16"/>
  <c r="AC17" i="16"/>
  <c r="AB17" i="16"/>
  <c r="AB5" i="16"/>
  <c r="AC5" i="16"/>
  <c r="AB6" i="16"/>
  <c r="AC6" i="16"/>
  <c r="AC9" i="16"/>
  <c r="AB9" i="16"/>
  <c r="AC8" i="16"/>
  <c r="AB8" i="16"/>
  <c r="AC7" i="16"/>
  <c r="AB7" i="16"/>
  <c r="AA4" i="14"/>
  <c r="Z4" i="14"/>
  <c r="AB10" i="16" l="1"/>
  <c r="AC10" i="16"/>
  <c r="AB21" i="16"/>
  <c r="AC21" i="16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AC5" i="13"/>
  <c r="AB5" i="13"/>
  <c r="AC4" i="13"/>
  <c r="AB4" i="13"/>
  <c r="AC20" i="13"/>
  <c r="AB20" i="13"/>
  <c r="AC19" i="13"/>
  <c r="AB19" i="13"/>
  <c r="AC18" i="13"/>
  <c r="AB18" i="13"/>
  <c r="AC17" i="13"/>
  <c r="AB17" i="13"/>
  <c r="AC16" i="13"/>
  <c r="AB16" i="13"/>
  <c r="AC15" i="13"/>
  <c r="AB15" i="13"/>
  <c r="AC14" i="13"/>
  <c r="AB14" i="13"/>
  <c r="AC13" i="13"/>
  <c r="AB13" i="13"/>
  <c r="AC12" i="13"/>
  <c r="AB12" i="13"/>
  <c r="AC11" i="13"/>
  <c r="AB11" i="13"/>
  <c r="AC10" i="13"/>
  <c r="AB10" i="13"/>
  <c r="AC9" i="13"/>
  <c r="AB9" i="13"/>
  <c r="AC8" i="13"/>
  <c r="AB8" i="13"/>
  <c r="AC7" i="13"/>
  <c r="AB7" i="13"/>
  <c r="AC6" i="13"/>
  <c r="AB6" i="13"/>
  <c r="D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B21" i="13" l="1"/>
  <c r="AC21" i="13"/>
  <c r="AB44" i="13"/>
  <c r="AC44" i="13"/>
  <c r="AA65" i="1" l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C4" i="1"/>
  <c r="AB4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B65" i="1" l="1"/>
  <c r="AC65" i="1"/>
  <c r="D29" i="1" l="1"/>
  <c r="AC29" i="1" l="1"/>
  <c r="AB29" i="1"/>
</calcChain>
</file>

<file path=xl/sharedStrings.xml><?xml version="1.0" encoding="utf-8"?>
<sst xmlns="http://schemas.openxmlformats.org/spreadsheetml/2006/main" count="981" uniqueCount="126">
  <si>
    <t>ลำดับที่</t>
  </si>
  <si>
    <t>เลขที่มิเตอร์</t>
  </si>
  <si>
    <t>ที่ตั้ง</t>
  </si>
  <si>
    <t>จำนวนหน่วย</t>
  </si>
  <si>
    <t>WP-035323</t>
  </si>
  <si>
    <t>WP-072917</t>
  </si>
  <si>
    <t>WP-150839</t>
  </si>
  <si>
    <t>WP-167698</t>
  </si>
  <si>
    <t>WP-194055</t>
  </si>
  <si>
    <t>WP-194959</t>
  </si>
  <si>
    <t>WP-194960</t>
  </si>
  <si>
    <t>WP-194961</t>
  </si>
  <si>
    <t>WP-194962</t>
  </si>
  <si>
    <t>WP-157062</t>
  </si>
  <si>
    <t>WP-194958</t>
  </si>
  <si>
    <t>WP-203314</t>
  </si>
  <si>
    <t>WP-203315</t>
  </si>
  <si>
    <t>WP-203316</t>
  </si>
  <si>
    <t>WP-30191309</t>
  </si>
  <si>
    <t>95869474</t>
  </si>
  <si>
    <t>WP-169823</t>
  </si>
  <si>
    <t>บางขุนเทียน</t>
  </si>
  <si>
    <t>KX</t>
  </si>
  <si>
    <t>หอพัก</t>
  </si>
  <si>
    <t>รวมทั้งสิ้น</t>
  </si>
  <si>
    <t>อาคารเรียน</t>
  </si>
  <si>
    <t>อาคารสัมมนา</t>
  </si>
  <si>
    <t>คณะพลังงานฯ</t>
  </si>
  <si>
    <t>อาคาร สนอ.</t>
  </si>
  <si>
    <t>อาคารเรียนรวม 4</t>
  </si>
  <si>
    <t>อาคารเรียนรวม 3</t>
  </si>
  <si>
    <t>อาคารพหุวิทยาการ</t>
  </si>
  <si>
    <t>อาคารคณะเทคโนโลยีสารสนเทศ</t>
  </si>
  <si>
    <t>สำนักงานหอสมุด</t>
  </si>
  <si>
    <t>อาคารเรียนและปฏิบัติการพื้นฐานทางวิทยาศาสตร์</t>
  </si>
  <si>
    <t>ปั๊มน้ำและลานอเนกประสงค์</t>
  </si>
  <si>
    <t xml:space="preserve"> (TOU)</t>
  </si>
  <si>
    <t>ราชบุรี</t>
  </si>
  <si>
    <t>รวม</t>
  </si>
  <si>
    <t>จำนวนเงิน</t>
  </si>
  <si>
    <t>kWh</t>
  </si>
  <si>
    <t>Baht</t>
  </si>
  <si>
    <t>WP 97002241</t>
  </si>
  <si>
    <t>สถานีอัดประจุไฟฟ้า หน้าอาคารอธิการบดี</t>
  </si>
  <si>
    <t>WP 97065559</t>
  </si>
  <si>
    <t>สถานีอัดประจุไฟฟ้า บริเวณข้างสวนสุขภาพ</t>
  </si>
  <si>
    <t>wp 97214372</t>
  </si>
  <si>
    <t>บางขุนเทียน (ไฟชั่วคราว)</t>
  </si>
  <si>
    <t>อาคารวิศววัฒนะ 11 ชั้น</t>
  </si>
  <si>
    <t>CB5, พระจอมเกล้า190ปี, วศ.เคมี</t>
  </si>
  <si>
    <t>ราชบุรี   ที่ผ่านมาใบแจ้งหนี้จะสลับมา</t>
  </si>
  <si>
    <t>ตค65</t>
  </si>
  <si>
    <t>พย65</t>
  </si>
  <si>
    <t>ธค65</t>
  </si>
  <si>
    <t>มค66</t>
  </si>
  <si>
    <t>กพ66</t>
  </si>
  <si>
    <t>มีค66</t>
  </si>
  <si>
    <t>เมย66</t>
  </si>
  <si>
    <t>พค66</t>
  </si>
  <si>
    <t>มิย66</t>
  </si>
  <si>
    <t>กค66</t>
  </si>
  <si>
    <t>สค66</t>
  </si>
  <si>
    <t>กย66</t>
  </si>
  <si>
    <t>ข้อมูลค่าไฟฟ้าประจำปีงบประมาณ พ.ศ. 2566</t>
  </si>
  <si>
    <t>ข้อมูลค่าไฟฟ้าประจำปีงบประมาณ พ.ศ. 2567</t>
  </si>
  <si>
    <t>ตค66</t>
  </si>
  <si>
    <t>พย66</t>
  </si>
  <si>
    <t>ธค66</t>
  </si>
  <si>
    <t>มค67</t>
  </si>
  <si>
    <t>กพ67</t>
  </si>
  <si>
    <t>มีค67</t>
  </si>
  <si>
    <t>เมย67</t>
  </si>
  <si>
    <t>พค67</t>
  </si>
  <si>
    <t>มิย67</t>
  </si>
  <si>
    <t>กค67</t>
  </si>
  <si>
    <t>สค67</t>
  </si>
  <si>
    <t>กย67</t>
  </si>
  <si>
    <t>เครื่องวัด</t>
  </si>
  <si>
    <t>Aug</t>
  </si>
  <si>
    <t>Sep</t>
  </si>
  <si>
    <t>Total</t>
  </si>
  <si>
    <t xml:space="preserve"> Oct</t>
  </si>
  <si>
    <t xml:space="preserve"> Nov</t>
  </si>
  <si>
    <t xml:space="preserve"> Dec</t>
  </si>
  <si>
    <t xml:space="preserve"> Jan</t>
  </si>
  <si>
    <t xml:space="preserve"> Feb</t>
  </si>
  <si>
    <t>march</t>
  </si>
  <si>
    <t>April</t>
  </si>
  <si>
    <t>May</t>
  </si>
  <si>
    <t>July</t>
  </si>
  <si>
    <t>June</t>
  </si>
  <si>
    <t>บางมด</t>
  </si>
  <si>
    <t>บาท</t>
  </si>
  <si>
    <t>บางขุนเทียน (ไฟชั่วคราว)  (ยกเลิกแล้ว)</t>
  </si>
  <si>
    <t>wp 97005156</t>
  </si>
  <si>
    <t>สถานีอัดประจุไฟฟ้าภายในอาคาร มจธ KX</t>
  </si>
  <si>
    <r>
      <rPr>
        <b/>
        <sz val="14"/>
        <rFont val="TH SarabunPSK"/>
        <family val="2"/>
      </rPr>
      <t>หมายเหตุ</t>
    </r>
    <r>
      <rPr>
        <sz val="14"/>
        <rFont val="TH SarabunPSK"/>
        <family val="2"/>
      </rPr>
      <t xml:space="preserve"> ค่าไฟของ KX รวม 2 เครื่องวัด ได้แก่ 95869474 และ WP97005156 ตั้งแต่เดือน มค67 เป็นต้นไป</t>
    </r>
  </si>
  <si>
    <t>ข้อมูลค่าไฟฟ้าประจำปีงบประมาณ พ.ศ. 2568</t>
  </si>
  <si>
    <t>ตค67</t>
  </si>
  <si>
    <t>พย67</t>
  </si>
  <si>
    <t>ธค67</t>
  </si>
  <si>
    <t>มค68</t>
  </si>
  <si>
    <t>กพ68</t>
  </si>
  <si>
    <t>มีค68</t>
  </si>
  <si>
    <t>เมย68</t>
  </si>
  <si>
    <t>พค68</t>
  </si>
  <si>
    <t>มิย68</t>
  </si>
  <si>
    <t>กค68</t>
  </si>
  <si>
    <t>สค68</t>
  </si>
  <si>
    <t>กย68</t>
  </si>
  <si>
    <t>The Bangkuntien KMUTT Electricity Consumption (kWh) and  Monetary Value (Baht) , 2566 - 2568</t>
  </si>
  <si>
    <t>The KX KMUTT Electricity Consumption (kWh) and  Monetary Value (Baht) , 2566 - 2568</t>
  </si>
  <si>
    <t>สถานีย่อย มจธ แขวงท่าข้าม เขตบางขุนเทียน กรุงเทพฯ</t>
  </si>
  <si>
    <t>ข้อมูลค่าไฟฟ้าประจำปีงบประมาณ พ.ศ. 2569</t>
  </si>
  <si>
    <t>ตค68</t>
  </si>
  <si>
    <t>พย68</t>
  </si>
  <si>
    <t>ธค68</t>
  </si>
  <si>
    <t>มค69</t>
  </si>
  <si>
    <t>กพ69</t>
  </si>
  <si>
    <t>มีค69</t>
  </si>
  <si>
    <t>เมย69</t>
  </si>
  <si>
    <t>พค69</t>
  </si>
  <si>
    <t>มิย69</t>
  </si>
  <si>
    <t>กค69</t>
  </si>
  <si>
    <t>สค69</t>
  </si>
  <si>
    <t>กย69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</si>
</sst>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_(* #,##0.00_);_(* \(#,##0.00\);_(* &quot;-&quot;??_);_(@_)"/>
    <numFmt numFmtId="188" formatCode="#,##0;[Red]#,##0"/>
    <numFmt numFmtId="189" formatCode="B1mmm\-yy"/>
  </numFmts>
  <fonts count="2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4"/>
      <name val="TH SarabunPSK"/>
      <family val="2"/>
      <charset val="222"/>
    </font>
    <font>
      <b/>
      <sz val="14"/>
      <name val="TH SarabunPSK"/>
      <family val="2"/>
      <charset val="222"/>
    </font>
    <font>
      <sz val="20"/>
      <name val="TH SarabunPSK"/>
      <family val="2"/>
      <charset val="222"/>
    </font>
    <font>
      <sz val="12"/>
      <name val="TH SarabunPSK"/>
      <family val="2"/>
      <charset val="222"/>
    </font>
    <font>
      <b/>
      <sz val="14"/>
      <name val="TH SarabunPSK"/>
      <family val="2"/>
    </font>
    <font>
      <sz val="14"/>
      <name val="TH SarabunPSK"/>
      <family val="2"/>
    </font>
    <font>
      <sz val="14"/>
      <color theme="1"/>
      <name val="TH SarabunPSK"/>
      <family val="2"/>
    </font>
    <font>
      <b/>
      <sz val="11"/>
      <color theme="1"/>
      <name val="Tahoma"/>
      <family val="2"/>
      <charset val="222"/>
      <scheme val="minor"/>
    </font>
    <font>
      <b/>
      <sz val="14"/>
      <color theme="1"/>
      <name val="TH SarabunPSK"/>
      <family val="2"/>
    </font>
    <font>
      <b/>
      <sz val="14"/>
      <color theme="1"/>
      <name val="TH SarabunPSK"/>
      <family val="2"/>
      <charset val="222"/>
    </font>
    <font>
      <b/>
      <sz val="14"/>
      <color rgb="FF0070C0"/>
      <name val="TH SarabunPSK"/>
      <family val="2"/>
    </font>
    <font>
      <b/>
      <sz val="14"/>
      <color rgb="FF0070C0"/>
      <name val="TH SarabunPSK"/>
      <family val="2"/>
      <charset val="222"/>
    </font>
    <font>
      <sz val="14"/>
      <color theme="1"/>
      <name val="Tahoma"/>
      <family val="2"/>
      <scheme val="minor"/>
    </font>
    <font>
      <sz val="12"/>
      <color theme="1"/>
      <name val="TH SarabunPSK"/>
      <family val="2"/>
    </font>
    <font>
      <sz val="13"/>
      <color theme="1"/>
      <name val="TH SarabunPSK"/>
      <family val="2"/>
    </font>
    <font>
      <sz val="14"/>
      <color theme="1"/>
      <name val="AngsanaUPC"/>
      <family val="1"/>
    </font>
    <font>
      <sz val="16"/>
      <color theme="1"/>
      <name val="AngsanaUPC"/>
      <family val="1"/>
    </font>
    <font>
      <b/>
      <sz val="12"/>
      <name val="TH SarabunPSK"/>
      <family val="2"/>
      <charset val="222"/>
    </font>
    <font>
      <sz val="12"/>
      <name val="Tahoma"/>
      <family val="2"/>
      <scheme val="minor"/>
    </font>
    <font>
      <b/>
      <sz val="12"/>
      <name val="TH SarabunPSK"/>
      <family val="2"/>
    </font>
    <font>
      <sz val="12"/>
      <name val="TH SarabunPSK"/>
      <family val="2"/>
    </font>
    <font>
      <sz val="10"/>
      <name val="TH SarabunPSK"/>
      <family val="2"/>
    </font>
    <font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87" fontId="1" fillId="0" borderId="0" applyFont="0" applyFill="0" applyBorder="0" applyAlignment="0" applyProtection="0"/>
  </cellStyleXfs>
  <cellXfs count="222">
    <xf numFmtId="0" fontId="0" fillId="0" borderId="0" xfId="0"/>
    <xf numFmtId="4" fontId="2" fillId="0" borderId="2" xfId="1" applyNumberFormat="1" applyFont="1" applyBorder="1"/>
    <xf numFmtId="187" fontId="2" fillId="0" borderId="2" xfId="1" applyFont="1" applyBorder="1"/>
    <xf numFmtId="187" fontId="2" fillId="0" borderId="0" xfId="1" applyFont="1"/>
    <xf numFmtId="0" fontId="2" fillId="0" borderId="0" xfId="0" applyFont="1"/>
    <xf numFmtId="0" fontId="3" fillId="0" borderId="0" xfId="0" applyFont="1" applyAlignment="1">
      <alignment horizontal="center"/>
    </xf>
    <xf numFmtId="187" fontId="3" fillId="0" borderId="2" xfId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/>
    <xf numFmtId="0" fontId="2" fillId="0" borderId="6" xfId="0" applyFont="1" applyBorder="1" applyAlignment="1">
      <alignment horizontal="left"/>
    </xf>
    <xf numFmtId="0" fontId="2" fillId="0" borderId="3" xfId="0" applyFont="1" applyBorder="1"/>
    <xf numFmtId="0" fontId="2" fillId="0" borderId="0" xfId="0" applyFont="1" applyAlignment="1">
      <alignment horizontal="left"/>
    </xf>
    <xf numFmtId="187" fontId="2" fillId="2" borderId="2" xfId="1" applyFont="1" applyFill="1" applyBorder="1"/>
    <xf numFmtId="187" fontId="2" fillId="0" borderId="8" xfId="1" applyFont="1" applyBorder="1"/>
    <xf numFmtId="43" fontId="2" fillId="0" borderId="0" xfId="0" applyNumberFormat="1" applyFont="1"/>
    <xf numFmtId="187" fontId="2" fillId="0" borderId="4" xfId="1" applyFont="1" applyBorder="1" applyAlignment="1"/>
    <xf numFmtId="4" fontId="2" fillId="0" borderId="8" xfId="0" applyNumberFormat="1" applyFont="1" applyBorder="1"/>
    <xf numFmtId="187" fontId="2" fillId="0" borderId="2" xfId="1" applyFont="1" applyBorder="1" applyAlignment="1">
      <alignment horizontal="right" wrapText="1"/>
    </xf>
    <xf numFmtId="187" fontId="2" fillId="0" borderId="2" xfId="1" applyFont="1" applyBorder="1" applyAlignment="1">
      <alignment vertical="top"/>
    </xf>
    <xf numFmtId="187" fontId="2" fillId="0" borderId="2" xfId="1" applyFont="1" applyBorder="1" applyAlignment="1"/>
    <xf numFmtId="187" fontId="2" fillId="2" borderId="5" xfId="1" applyFont="1" applyFill="1" applyBorder="1" applyAlignment="1">
      <alignment horizontal="right" wrapText="1"/>
    </xf>
    <xf numFmtId="187" fontId="2" fillId="0" borderId="5" xfId="1" applyFont="1" applyBorder="1" applyAlignment="1">
      <alignment horizontal="right" wrapText="1"/>
    </xf>
    <xf numFmtId="187" fontId="2" fillId="2" borderId="5" xfId="1" applyFont="1" applyFill="1" applyBorder="1"/>
    <xf numFmtId="187" fontId="2" fillId="0" borderId="5" xfId="1" applyFont="1" applyBorder="1" applyAlignment="1"/>
    <xf numFmtId="187" fontId="2" fillId="0" borderId="5" xfId="1" applyFont="1" applyBorder="1"/>
    <xf numFmtId="188" fontId="3" fillId="0" borderId="2" xfId="0" applyNumberFormat="1" applyFont="1" applyBorder="1" applyAlignment="1">
      <alignment horizontal="center" vertical="center"/>
    </xf>
    <xf numFmtId="187" fontId="2" fillId="0" borderId="2" xfId="1" applyFont="1" applyBorder="1" applyAlignment="1">
      <alignment horizontal="right" vertical="top" wrapText="1"/>
    </xf>
    <xf numFmtId="0" fontId="2" fillId="0" borderId="5" xfId="1" applyNumberFormat="1" applyFont="1" applyBorder="1" applyAlignment="1">
      <alignment horizontal="right" wrapText="1"/>
    </xf>
    <xf numFmtId="0" fontId="2" fillId="0" borderId="2" xfId="0" quotePrefix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2" fontId="2" fillId="0" borderId="5" xfId="1" applyNumberFormat="1" applyFont="1" applyBorder="1"/>
    <xf numFmtId="187" fontId="4" fillId="0" borderId="0" xfId="1" applyFont="1"/>
    <xf numFmtId="0" fontId="3" fillId="0" borderId="2" xfId="0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187" fontId="5" fillId="0" borderId="7" xfId="1" applyFont="1" applyBorder="1" applyAlignment="1">
      <alignment horizontal="left" vertical="center"/>
    </xf>
    <xf numFmtId="187" fontId="2" fillId="0" borderId="2" xfId="1" applyFont="1" applyBorder="1" applyAlignment="1">
      <alignment horizontal="center" vertical="center"/>
    </xf>
    <xf numFmtId="187" fontId="2" fillId="0" borderId="3" xfId="1" applyFont="1" applyBorder="1" applyAlignment="1"/>
    <xf numFmtId="0" fontId="2" fillId="0" borderId="2" xfId="1" applyNumberFormat="1" applyFont="1" applyBorder="1"/>
    <xf numFmtId="0" fontId="2" fillId="0" borderId="2" xfId="1" applyNumberFormat="1" applyFont="1" applyBorder="1" applyAlignment="1"/>
    <xf numFmtId="187" fontId="2" fillId="0" borderId="5" xfId="1" applyFont="1" applyBorder="1" applyAlignment="1">
      <alignment horizontal="left" wrapText="1"/>
    </xf>
    <xf numFmtId="0" fontId="2" fillId="0" borderId="2" xfId="1" applyNumberFormat="1" applyFont="1" applyBorder="1" applyAlignment="1">
      <alignment horizontal="right" wrapText="1"/>
    </xf>
    <xf numFmtId="187" fontId="6" fillId="0" borderId="2" xfId="1" applyFont="1" applyBorder="1" applyAlignment="1">
      <alignment horizontal="center" vertical="center"/>
    </xf>
    <xf numFmtId="187" fontId="7" fillId="0" borderId="2" xfId="1" applyFont="1" applyBorder="1" applyAlignment="1">
      <alignment horizontal="center" vertical="center"/>
    </xf>
    <xf numFmtId="187" fontId="7" fillId="0" borderId="2" xfId="1" applyFont="1" applyBorder="1"/>
    <xf numFmtId="187" fontId="7" fillId="0" borderId="2" xfId="1" applyFont="1" applyBorder="1" applyAlignment="1">
      <alignment horizontal="right" wrapText="1"/>
    </xf>
    <xf numFmtId="187" fontId="7" fillId="0" borderId="2" xfId="1" applyFont="1" applyBorder="1" applyAlignment="1">
      <alignment vertical="top"/>
    </xf>
    <xf numFmtId="2" fontId="7" fillId="0" borderId="4" xfId="1" applyNumberFormat="1" applyFont="1" applyBorder="1" applyAlignment="1"/>
    <xf numFmtId="2" fontId="7" fillId="0" borderId="2" xfId="1" applyNumberFormat="1" applyFont="1" applyBorder="1" applyAlignment="1"/>
    <xf numFmtId="187" fontId="7" fillId="2" borderId="5" xfId="1" applyFont="1" applyFill="1" applyBorder="1" applyAlignment="1">
      <alignment horizontal="right" wrapText="1"/>
    </xf>
    <xf numFmtId="187" fontId="7" fillId="0" borderId="5" xfId="1" applyFont="1" applyBorder="1" applyAlignment="1">
      <alignment horizontal="right" wrapText="1"/>
    </xf>
    <xf numFmtId="0" fontId="7" fillId="0" borderId="2" xfId="1" applyNumberFormat="1" applyFont="1" applyBorder="1"/>
    <xf numFmtId="0" fontId="7" fillId="0" borderId="5" xfId="1" applyNumberFormat="1" applyFont="1" applyBorder="1" applyAlignment="1">
      <alignment horizontal="right" wrapText="1"/>
    </xf>
    <xf numFmtId="4" fontId="7" fillId="0" borderId="2" xfId="1" applyNumberFormat="1" applyFont="1" applyBorder="1"/>
    <xf numFmtId="2" fontId="7" fillId="0" borderId="5" xfId="1" applyNumberFormat="1" applyFont="1" applyBorder="1"/>
    <xf numFmtId="0" fontId="7" fillId="0" borderId="2" xfId="1" applyNumberFormat="1" applyFont="1" applyBorder="1" applyAlignment="1">
      <alignment horizontal="right" wrapText="1"/>
    </xf>
    <xf numFmtId="2" fontId="7" fillId="0" borderId="2" xfId="1" applyNumberFormat="1" applyFont="1" applyBorder="1"/>
    <xf numFmtId="0" fontId="7" fillId="0" borderId="2" xfId="0" applyFont="1" applyBorder="1" applyAlignment="1">
      <alignment horizontal="left"/>
    </xf>
    <xf numFmtId="0" fontId="7" fillId="0" borderId="4" xfId="0" applyFont="1" applyBorder="1"/>
    <xf numFmtId="0" fontId="7" fillId="0" borderId="6" xfId="0" applyFont="1" applyBorder="1" applyAlignment="1">
      <alignment horizontal="left"/>
    </xf>
    <xf numFmtId="0" fontId="7" fillId="0" borderId="3" xfId="0" applyFont="1" applyBorder="1"/>
    <xf numFmtId="0" fontId="7" fillId="0" borderId="0" xfId="0" applyFont="1"/>
    <xf numFmtId="187" fontId="8" fillId="0" borderId="2" xfId="0" applyNumberFormat="1" applyFont="1" applyBorder="1"/>
    <xf numFmtId="0" fontId="6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0" xfId="0" applyFont="1"/>
    <xf numFmtId="187" fontId="3" fillId="0" borderId="2" xfId="1" applyFont="1" applyBorder="1"/>
    <xf numFmtId="187" fontId="3" fillId="0" borderId="0" xfId="1" applyFont="1"/>
    <xf numFmtId="43" fontId="11" fillId="0" borderId="2" xfId="0" applyNumberFormat="1" applyFont="1" applyBorder="1"/>
    <xf numFmtId="187" fontId="3" fillId="0" borderId="2" xfId="1" applyFont="1" applyBorder="1" applyAlignment="1"/>
    <xf numFmtId="187" fontId="11" fillId="0" borderId="0" xfId="0" applyNumberFormat="1" applyFont="1"/>
    <xf numFmtId="187" fontId="3" fillId="0" borderId="2" xfId="1" applyFont="1" applyBorder="1" applyAlignment="1">
      <alignment horizontal="right" wrapText="1"/>
    </xf>
    <xf numFmtId="187" fontId="3" fillId="0" borderId="2" xfId="1" applyFont="1" applyBorder="1" applyAlignment="1">
      <alignment vertical="top"/>
    </xf>
    <xf numFmtId="187" fontId="6" fillId="0" borderId="2" xfId="1" applyFont="1" applyBorder="1" applyAlignment="1">
      <alignment horizontal="right" wrapText="1"/>
    </xf>
    <xf numFmtId="43" fontId="10" fillId="0" borderId="2" xfId="0" applyNumberFormat="1" applyFont="1" applyBorder="1"/>
    <xf numFmtId="187" fontId="6" fillId="0" borderId="2" xfId="1" applyFont="1" applyBorder="1"/>
    <xf numFmtId="187" fontId="6" fillId="2" borderId="2" xfId="1" applyFont="1" applyFill="1" applyBorder="1"/>
    <xf numFmtId="187" fontId="6" fillId="0" borderId="2" xfId="1" applyFont="1" applyBorder="1" applyAlignment="1">
      <alignment vertical="top"/>
    </xf>
    <xf numFmtId="187" fontId="10" fillId="0" borderId="0" xfId="0" applyNumberFormat="1" applyFont="1"/>
    <xf numFmtId="187" fontId="3" fillId="2" borderId="2" xfId="1" applyFont="1" applyFill="1" applyBorder="1"/>
    <xf numFmtId="0" fontId="3" fillId="0" borderId="5" xfId="1" applyNumberFormat="1" applyFont="1" applyBorder="1" applyAlignment="1">
      <alignment horizontal="right" wrapText="1"/>
    </xf>
    <xf numFmtId="187" fontId="3" fillId="0" borderId="3" xfId="1" applyFont="1" applyBorder="1" applyAlignment="1"/>
    <xf numFmtId="187" fontId="10" fillId="0" borderId="2" xfId="0" applyNumberFormat="1" applyFont="1" applyBorder="1"/>
    <xf numFmtId="188" fontId="3" fillId="0" borderId="4" xfId="0" applyNumberFormat="1" applyFont="1" applyBorder="1" applyAlignment="1">
      <alignment horizontal="center" vertical="center"/>
    </xf>
    <xf numFmtId="188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87" fontId="2" fillId="0" borderId="5" xfId="1" applyFont="1" applyBorder="1" applyAlignment="1">
      <alignment vertical="top"/>
    </xf>
    <xf numFmtId="0" fontId="2" fillId="0" borderId="2" xfId="0" applyFont="1" applyBorder="1"/>
    <xf numFmtId="189" fontId="3" fillId="0" borderId="4" xfId="0" applyNumberFormat="1" applyFont="1" applyBorder="1" applyAlignment="1">
      <alignment horizontal="center" vertical="center"/>
    </xf>
    <xf numFmtId="188" fontId="6" fillId="0" borderId="4" xfId="0" applyNumberFormat="1" applyFont="1" applyBorder="1" applyAlignment="1">
      <alignment horizontal="center" vertical="center"/>
    </xf>
    <xf numFmtId="188" fontId="6" fillId="0" borderId="3" xfId="0" applyNumberFormat="1" applyFont="1" applyBorder="1" applyAlignment="1">
      <alignment vertical="center"/>
    </xf>
    <xf numFmtId="189" fontId="6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88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/>
    <xf numFmtId="4" fontId="7" fillId="0" borderId="8" xfId="0" applyNumberFormat="1" applyFont="1" applyBorder="1"/>
    <xf numFmtId="187" fontId="2" fillId="0" borderId="6" xfId="1" applyFont="1" applyBorder="1"/>
    <xf numFmtId="187" fontId="0" fillId="0" borderId="0" xfId="0" applyNumberFormat="1"/>
    <xf numFmtId="187" fontId="3" fillId="0" borderId="2" xfId="0" applyNumberFormat="1" applyFont="1" applyBorder="1"/>
    <xf numFmtId="187" fontId="7" fillId="0" borderId="0" xfId="1" applyFont="1"/>
    <xf numFmtId="187" fontId="7" fillId="0" borderId="2" xfId="1" applyFont="1" applyBorder="1" applyAlignment="1"/>
    <xf numFmtId="4" fontId="7" fillId="0" borderId="0" xfId="0" applyNumberFormat="1" applyFont="1"/>
    <xf numFmtId="43" fontId="7" fillId="0" borderId="0" xfId="0" applyNumberFormat="1" applyFont="1"/>
    <xf numFmtId="187" fontId="13" fillId="0" borderId="0" xfId="0" applyNumberFormat="1" applyFont="1"/>
    <xf numFmtId="187" fontId="12" fillId="0" borderId="0" xfId="0" applyNumberFormat="1" applyFont="1"/>
    <xf numFmtId="187" fontId="7" fillId="0" borderId="5" xfId="1" applyFont="1" applyBorder="1"/>
    <xf numFmtId="0" fontId="14" fillId="0" borderId="0" xfId="0" applyFont="1"/>
    <xf numFmtId="0" fontId="7" fillId="0" borderId="7" xfId="0" applyFont="1" applyBorder="1" applyAlignment="1">
      <alignment horizontal="left" vertical="center"/>
    </xf>
    <xf numFmtId="187" fontId="7" fillId="0" borderId="7" xfId="1" applyFont="1" applyBorder="1" applyAlignment="1">
      <alignment horizontal="left" vertical="center"/>
    </xf>
    <xf numFmtId="4" fontId="6" fillId="0" borderId="2" xfId="1" applyNumberFormat="1" applyFont="1" applyBorder="1" applyAlignment="1">
      <alignment horizontal="center" vertical="center"/>
    </xf>
    <xf numFmtId="187" fontId="6" fillId="0" borderId="2" xfId="1" applyFont="1" applyBorder="1" applyAlignment="1"/>
    <xf numFmtId="187" fontId="7" fillId="0" borderId="0" xfId="1" applyFont="1" applyBorder="1"/>
    <xf numFmtId="43" fontId="7" fillId="0" borderId="6" xfId="0" applyNumberFormat="1" applyFont="1" applyBorder="1"/>
    <xf numFmtId="187" fontId="7" fillId="0" borderId="3" xfId="1" applyFont="1" applyBorder="1" applyAlignment="1"/>
    <xf numFmtId="187" fontId="7" fillId="0" borderId="4" xfId="1" applyFont="1" applyBorder="1" applyAlignment="1"/>
    <xf numFmtId="43" fontId="15" fillId="0" borderId="0" xfId="0" applyNumberFormat="1" applyFont="1"/>
    <xf numFmtId="43" fontId="16" fillId="0" borderId="0" xfId="0" applyNumberFormat="1" applyFont="1"/>
    <xf numFmtId="43" fontId="17" fillId="0" borderId="0" xfId="0" applyNumberFormat="1" applyFont="1"/>
    <xf numFmtId="43" fontId="18" fillId="0" borderId="0" xfId="0" applyNumberFormat="1" applyFont="1"/>
    <xf numFmtId="0" fontId="20" fillId="0" borderId="0" xfId="0" applyFont="1"/>
    <xf numFmtId="187" fontId="19" fillId="0" borderId="2" xfId="1" applyFont="1" applyBorder="1" applyAlignment="1">
      <alignment horizontal="center" vertical="center"/>
    </xf>
    <xf numFmtId="0" fontId="22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187" fontId="5" fillId="2" borderId="2" xfId="1" applyFont="1" applyFill="1" applyBorder="1"/>
    <xf numFmtId="4" fontId="5" fillId="0" borderId="2" xfId="1" applyNumberFormat="1" applyFont="1" applyBorder="1"/>
    <xf numFmtId="187" fontId="5" fillId="0" borderId="2" xfId="1" applyFont="1" applyBorder="1"/>
    <xf numFmtId="0" fontId="5" fillId="0" borderId="2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22" fillId="0" borderId="4" xfId="0" applyFont="1" applyBorder="1"/>
    <xf numFmtId="0" fontId="22" fillId="0" borderId="6" xfId="0" applyFont="1" applyBorder="1" applyAlignment="1">
      <alignment horizontal="left"/>
    </xf>
    <xf numFmtId="0" fontId="22" fillId="0" borderId="3" xfId="0" applyFont="1" applyBorder="1"/>
    <xf numFmtId="187" fontId="5" fillId="0" borderId="5" xfId="1" applyFont="1" applyBorder="1" applyAlignment="1">
      <alignment horizontal="right" wrapText="1"/>
    </xf>
    <xf numFmtId="187" fontId="5" fillId="0" borderId="2" xfId="1" applyFont="1" applyBorder="1" applyAlignment="1">
      <alignment horizontal="right" wrapText="1"/>
    </xf>
    <xf numFmtId="187" fontId="5" fillId="0" borderId="0" xfId="1" applyFont="1"/>
    <xf numFmtId="0" fontId="22" fillId="0" borderId="0" xfId="0" applyFont="1"/>
    <xf numFmtId="187" fontId="5" fillId="2" borderId="5" xfId="1" applyFont="1" applyFill="1" applyBorder="1" applyAlignment="1">
      <alignment horizontal="right" wrapText="1"/>
    </xf>
    <xf numFmtId="187" fontId="5" fillId="2" borderId="5" xfId="1" applyFont="1" applyFill="1" applyBorder="1"/>
    <xf numFmtId="187" fontId="5" fillId="0" borderId="5" xfId="1" applyFont="1" applyBorder="1" applyAlignment="1"/>
    <xf numFmtId="187" fontId="5" fillId="0" borderId="5" xfId="1" applyFont="1" applyBorder="1"/>
    <xf numFmtId="187" fontId="22" fillId="0" borderId="2" xfId="0" applyNumberFormat="1" applyFont="1" applyBorder="1"/>
    <xf numFmtId="0" fontId="5" fillId="0" borderId="5" xfId="1" applyNumberFormat="1" applyFont="1" applyBorder="1" applyAlignment="1">
      <alignment horizontal="right" wrapText="1"/>
    </xf>
    <xf numFmtId="0" fontId="19" fillId="0" borderId="2" xfId="1" applyNumberFormat="1" applyFont="1" applyBorder="1" applyAlignment="1">
      <alignment horizontal="right" vertical="center"/>
    </xf>
    <xf numFmtId="0" fontId="5" fillId="0" borderId="2" xfId="1" applyNumberFormat="1" applyFont="1" applyBorder="1"/>
    <xf numFmtId="2" fontId="5" fillId="0" borderId="5" xfId="1" applyNumberFormat="1" applyFont="1" applyBorder="1"/>
    <xf numFmtId="187" fontId="5" fillId="0" borderId="5" xfId="1" applyFont="1" applyBorder="1" applyAlignment="1">
      <alignment horizontal="left" wrapText="1"/>
    </xf>
    <xf numFmtId="0" fontId="5" fillId="0" borderId="2" xfId="1" applyNumberFormat="1" applyFont="1" applyBorder="1" applyAlignment="1">
      <alignment horizontal="right" wrapText="1"/>
    </xf>
    <xf numFmtId="187" fontId="22" fillId="0" borderId="2" xfId="1" applyFont="1" applyBorder="1"/>
    <xf numFmtId="187" fontId="22" fillId="2" borderId="5" xfId="1" applyFont="1" applyFill="1" applyBorder="1" applyAlignment="1">
      <alignment horizontal="right" wrapText="1"/>
    </xf>
    <xf numFmtId="187" fontId="22" fillId="0" borderId="0" xfId="1" applyFont="1"/>
    <xf numFmtId="187" fontId="22" fillId="0" borderId="5" xfId="1" applyFont="1" applyBorder="1" applyAlignment="1">
      <alignment horizontal="right" wrapText="1"/>
    </xf>
    <xf numFmtId="0" fontId="22" fillId="0" borderId="2" xfId="1" applyNumberFormat="1" applyFont="1" applyBorder="1"/>
    <xf numFmtId="0" fontId="22" fillId="0" borderId="5" xfId="1" applyNumberFormat="1" applyFont="1" applyBorder="1" applyAlignment="1">
      <alignment horizontal="right" wrapText="1"/>
    </xf>
    <xf numFmtId="4" fontId="22" fillId="0" borderId="2" xfId="1" applyNumberFormat="1" applyFont="1" applyBorder="1"/>
    <xf numFmtId="2" fontId="22" fillId="0" borderId="5" xfId="1" applyNumberFormat="1" applyFont="1" applyBorder="1"/>
    <xf numFmtId="187" fontId="22" fillId="0" borderId="2" xfId="1" applyFont="1" applyBorder="1" applyAlignment="1">
      <alignment horizontal="right" wrapText="1"/>
    </xf>
    <xf numFmtId="0" fontId="22" fillId="0" borderId="2" xfId="1" applyNumberFormat="1" applyFont="1" applyBorder="1" applyAlignment="1">
      <alignment horizontal="right" wrapText="1"/>
    </xf>
    <xf numFmtId="2" fontId="22" fillId="0" borderId="2" xfId="1" applyNumberFormat="1" applyFont="1" applyBorder="1"/>
    <xf numFmtId="0" fontId="22" fillId="0" borderId="2" xfId="1" applyNumberFormat="1" applyFont="1" applyBorder="1" applyAlignment="1">
      <alignment horizontal="right" vertical="center"/>
    </xf>
    <xf numFmtId="43" fontId="20" fillId="0" borderId="0" xfId="0" applyNumberFormat="1" applyFont="1"/>
    <xf numFmtId="43" fontId="22" fillId="0" borderId="0" xfId="0" applyNumberFormat="1" applyFont="1"/>
    <xf numFmtId="187" fontId="7" fillId="0" borderId="2" xfId="1" applyFont="1" applyBorder="1" applyAlignment="1">
      <alignment horizontal="right" vertical="top" wrapText="1"/>
    </xf>
    <xf numFmtId="0" fontId="7" fillId="0" borderId="2" xfId="1" applyNumberFormat="1" applyFont="1" applyBorder="1" applyAlignment="1"/>
    <xf numFmtId="187" fontId="6" fillId="0" borderId="9" xfId="1" applyFont="1" applyBorder="1" applyAlignment="1">
      <alignment horizontal="center" vertical="center"/>
    </xf>
    <xf numFmtId="187" fontId="7" fillId="0" borderId="9" xfId="1" applyFont="1" applyBorder="1" applyAlignment="1">
      <alignment horizontal="center" vertical="center"/>
    </xf>
    <xf numFmtId="187" fontId="7" fillId="0" borderId="9" xfId="1" applyFont="1" applyBorder="1" applyAlignment="1"/>
    <xf numFmtId="4" fontId="7" fillId="0" borderId="9" xfId="0" applyNumberFormat="1" applyFont="1" applyBorder="1"/>
    <xf numFmtId="187" fontId="7" fillId="0" borderId="5" xfId="1" applyFont="1" applyBorder="1" applyAlignment="1">
      <alignment vertical="top"/>
    </xf>
    <xf numFmtId="187" fontId="7" fillId="0" borderId="5" xfId="1" applyFont="1" applyBorder="1" applyAlignment="1"/>
    <xf numFmtId="187" fontId="7" fillId="0" borderId="10" xfId="1" applyFont="1" applyBorder="1" applyAlignment="1"/>
    <xf numFmtId="4" fontId="7" fillId="0" borderId="2" xfId="1" applyNumberFormat="1" applyFont="1" applyBorder="1" applyAlignment="1">
      <alignment horizontal="right" vertical="center"/>
    </xf>
    <xf numFmtId="187" fontId="7" fillId="2" borderId="2" xfId="1" applyFont="1" applyFill="1" applyBorder="1"/>
    <xf numFmtId="187" fontId="7" fillId="2" borderId="5" xfId="1" applyFont="1" applyFill="1" applyBorder="1"/>
    <xf numFmtId="187" fontId="23" fillId="0" borderId="2" xfId="1" applyFont="1" applyBorder="1"/>
    <xf numFmtId="187" fontId="23" fillId="2" borderId="5" xfId="1" applyFont="1" applyFill="1" applyBorder="1" applyAlignment="1">
      <alignment horizontal="right" wrapText="1"/>
    </xf>
    <xf numFmtId="187" fontId="23" fillId="0" borderId="5" xfId="1" applyFont="1" applyBorder="1" applyAlignment="1">
      <alignment horizontal="right" wrapText="1"/>
    </xf>
    <xf numFmtId="187" fontId="7" fillId="0" borderId="4" xfId="1" applyFont="1" applyBorder="1" applyAlignment="1">
      <alignment horizontal="right"/>
    </xf>
    <xf numFmtId="0" fontId="23" fillId="0" borderId="5" xfId="1" applyNumberFormat="1" applyFont="1" applyBorder="1" applyAlignment="1">
      <alignment horizontal="right" wrapText="1"/>
    </xf>
    <xf numFmtId="0" fontId="7" fillId="0" borderId="2" xfId="0" applyFont="1" applyBorder="1" applyAlignment="1">
      <alignment horizontal="center" vertical="center"/>
    </xf>
    <xf numFmtId="187" fontId="23" fillId="0" borderId="5" xfId="1" applyFont="1" applyBorder="1"/>
    <xf numFmtId="0" fontId="6" fillId="0" borderId="2" xfId="1" applyNumberFormat="1" applyFont="1" applyBorder="1" applyAlignment="1">
      <alignment horizontal="right" vertical="center"/>
    </xf>
    <xf numFmtId="0" fontId="23" fillId="0" borderId="2" xfId="0" applyFont="1" applyBorder="1" applyAlignment="1">
      <alignment horizontal="left"/>
    </xf>
    <xf numFmtId="187" fontId="23" fillId="0" borderId="0" xfId="1" applyFont="1"/>
    <xf numFmtId="0" fontId="23" fillId="0" borderId="2" xfId="1" applyNumberFormat="1" applyFont="1" applyBorder="1"/>
    <xf numFmtId="187" fontId="23" fillId="0" borderId="2" xfId="1" applyFont="1" applyBorder="1" applyAlignment="1">
      <alignment horizontal="right" wrapText="1"/>
    </xf>
    <xf numFmtId="187" fontId="23" fillId="0" borderId="5" xfId="1" applyFont="1" applyBorder="1" applyAlignment="1">
      <alignment horizontal="left" wrapText="1"/>
    </xf>
    <xf numFmtId="0" fontId="22" fillId="0" borderId="4" xfId="0" applyFont="1" applyBorder="1" applyAlignment="1">
      <alignment horizontal="center"/>
    </xf>
    <xf numFmtId="187" fontId="7" fillId="0" borderId="11" xfId="1" applyFont="1" applyBorder="1" applyAlignment="1"/>
    <xf numFmtId="187" fontId="7" fillId="0" borderId="5" xfId="1" applyFont="1" applyBorder="1" applyAlignment="1">
      <alignment horizontal="right" vertical="top" wrapText="1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7" fontId="3" fillId="0" borderId="4" xfId="1" applyFont="1" applyBorder="1" applyAlignment="1">
      <alignment horizontal="center" vertical="center"/>
    </xf>
    <xf numFmtId="187" fontId="3" fillId="0" borderId="3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87" fontId="3" fillId="0" borderId="5" xfId="1" applyFont="1" applyBorder="1" applyAlignment="1">
      <alignment horizontal="center" vertical="center"/>
    </xf>
    <xf numFmtId="187" fontId="3" fillId="0" borderId="7" xfId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87" fontId="6" fillId="0" borderId="5" xfId="1" applyFont="1" applyBorder="1" applyAlignment="1">
      <alignment horizontal="center" vertical="center"/>
    </xf>
    <xf numFmtId="187" fontId="6" fillId="0" borderId="7" xfId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187" fontId="19" fillId="0" borderId="4" xfId="1" applyFont="1" applyBorder="1" applyAlignment="1">
      <alignment horizontal="center" vertical="center"/>
    </xf>
    <xf numFmtId="187" fontId="19" fillId="0" borderId="3" xfId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187" fontId="21" fillId="0" borderId="5" xfId="1" applyFont="1" applyBorder="1" applyAlignment="1">
      <alignment horizontal="center" vertical="center"/>
    </xf>
    <xf numFmtId="187" fontId="21" fillId="0" borderId="7" xfId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87" fontId="24" fillId="0" borderId="5" xfId="1" applyFont="1" applyBorder="1"/>
    <xf numFmtId="187" fontId="24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466165</xdr:colOff>
      <xdr:row>25</xdr:row>
      <xdr:rowOff>134471</xdr:rowOff>
    </xdr:from>
    <xdr:to>
      <xdr:col>2</xdr:col>
      <xdr:colOff>544319</xdr:colOff>
      <xdr:row>27</xdr:row>
      <xdr:rowOff>162351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60328564-127A-44D8-A813-49FD5D20FEFE}"/>
            </a:ext>
          </a:extLst>
        </xdr:cNvPr>
        <xdr:cNvSpPr/>
      </xdr:nvSpPr>
      <xdr:spPr>
        <a:xfrm>
          <a:off x="2079812" y="174946236"/>
          <a:ext cx="78154" cy="49404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466165</xdr:colOff>
      <xdr:row>61</xdr:row>
      <xdr:rowOff>134471</xdr:rowOff>
    </xdr:from>
    <xdr:to>
      <xdr:col>2</xdr:col>
      <xdr:colOff>544319</xdr:colOff>
      <xdr:row>63</xdr:row>
      <xdr:rowOff>162351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4B5FB54E-F2E1-4071-A4DD-B6187A8D4C62}"/>
            </a:ext>
          </a:extLst>
        </xdr:cNvPr>
        <xdr:cNvSpPr/>
      </xdr:nvSpPr>
      <xdr:spPr>
        <a:xfrm>
          <a:off x="2079812" y="163852412"/>
          <a:ext cx="78154" cy="47611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466165</xdr:colOff>
      <xdr:row>100</xdr:row>
      <xdr:rowOff>134471</xdr:rowOff>
    </xdr:from>
    <xdr:to>
      <xdr:col>2</xdr:col>
      <xdr:colOff>544319</xdr:colOff>
      <xdr:row>102</xdr:row>
      <xdr:rowOff>162351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540D9697-8905-45C6-88C2-DCE192AA6439}"/>
            </a:ext>
          </a:extLst>
        </xdr:cNvPr>
        <xdr:cNvSpPr/>
      </xdr:nvSpPr>
      <xdr:spPr>
        <a:xfrm>
          <a:off x="2077251" y="175285614"/>
          <a:ext cx="78154" cy="4850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466165</xdr:colOff>
      <xdr:row>141</xdr:row>
      <xdr:rowOff>134471</xdr:rowOff>
    </xdr:from>
    <xdr:to>
      <xdr:col>2</xdr:col>
      <xdr:colOff>544319</xdr:colOff>
      <xdr:row>143</xdr:row>
      <xdr:rowOff>162351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459AE378-B4AB-4E63-B0BD-0B41B0B97B78}"/>
            </a:ext>
          </a:extLst>
        </xdr:cNvPr>
        <xdr:cNvSpPr/>
      </xdr:nvSpPr>
      <xdr:spPr>
        <a:xfrm>
          <a:off x="2074832" y="23139614"/>
          <a:ext cx="78154" cy="487499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466165</xdr:colOff>
      <xdr:row>6</xdr:row>
      <xdr:rowOff>134471</xdr:rowOff>
    </xdr:from>
    <xdr:to>
      <xdr:col>2</xdr:col>
      <xdr:colOff>544319</xdr:colOff>
      <xdr:row>8</xdr:row>
      <xdr:rowOff>162351</xdr:rowOff>
    </xdr:to>
    <xdr:sp macro="" textlink="">
      <xdr:nvSpPr>
        <xdr:cNvPr id="23" name="Right Brace 22">
          <a:extLst>
            <a:ext uri="{FF2B5EF4-FFF2-40B4-BE49-F238E27FC236}">
              <a16:creationId xmlns:a16="http://schemas.microsoft.com/office/drawing/2014/main" id="{65E0BE67-1948-4176-B3A7-42C995AFBB59}"/>
            </a:ext>
          </a:extLst>
        </xdr:cNvPr>
        <xdr:cNvSpPr/>
      </xdr:nvSpPr>
      <xdr:spPr>
        <a:xfrm>
          <a:off x="1807285" y="10909151"/>
          <a:ext cx="78154" cy="4850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466165</xdr:colOff>
      <xdr:row>17</xdr:row>
      <xdr:rowOff>134471</xdr:rowOff>
    </xdr:from>
    <xdr:to>
      <xdr:col>2</xdr:col>
      <xdr:colOff>544319</xdr:colOff>
      <xdr:row>19</xdr:row>
      <xdr:rowOff>162351</xdr:rowOff>
    </xdr:to>
    <xdr:sp macro="" textlink="">
      <xdr:nvSpPr>
        <xdr:cNvPr id="24" name="Right Brace 23">
          <a:extLst>
            <a:ext uri="{FF2B5EF4-FFF2-40B4-BE49-F238E27FC236}">
              <a16:creationId xmlns:a16="http://schemas.microsoft.com/office/drawing/2014/main" id="{2937FF2E-BD06-4020-911C-312085DA617B}"/>
            </a:ext>
          </a:extLst>
        </xdr:cNvPr>
        <xdr:cNvSpPr/>
      </xdr:nvSpPr>
      <xdr:spPr>
        <a:xfrm>
          <a:off x="1807285" y="13317071"/>
          <a:ext cx="78154" cy="48508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466165</xdr:colOff>
      <xdr:row>28</xdr:row>
      <xdr:rowOff>134471</xdr:rowOff>
    </xdr:from>
    <xdr:to>
      <xdr:col>2</xdr:col>
      <xdr:colOff>544319</xdr:colOff>
      <xdr:row>30</xdr:row>
      <xdr:rowOff>162351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A5E1B191-9FA0-4549-93A8-B8395BCB86B6}"/>
            </a:ext>
          </a:extLst>
        </xdr:cNvPr>
        <xdr:cNvSpPr/>
      </xdr:nvSpPr>
      <xdr:spPr>
        <a:xfrm>
          <a:off x="1887945" y="14064203"/>
          <a:ext cx="78154" cy="492514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466165</xdr:colOff>
      <xdr:row>41</xdr:row>
      <xdr:rowOff>134471</xdr:rowOff>
    </xdr:from>
    <xdr:to>
      <xdr:col>2</xdr:col>
      <xdr:colOff>544319</xdr:colOff>
      <xdr:row>43</xdr:row>
      <xdr:rowOff>162351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B02CDEB2-23C6-4D17-A202-D7FA09F8D09D}"/>
            </a:ext>
          </a:extLst>
        </xdr:cNvPr>
        <xdr:cNvSpPr/>
      </xdr:nvSpPr>
      <xdr:spPr>
        <a:xfrm>
          <a:off x="1887945" y="5719373"/>
          <a:ext cx="78154" cy="3995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BB72F-BA24-45E5-AEDE-966BEEFA3959}">
  <dimension ref="A1:AE154"/>
  <sheetViews>
    <sheetView topLeftCell="W130" zoomScale="79" zoomScaleNormal="79" workbookViewId="0">
      <selection activeCell="AE146" sqref="AE146"/>
    </sheetView>
  </sheetViews>
  <sheetFormatPr defaultColWidth="8.8984375" defaultRowHeight="18" x14ac:dyDescent="0.35"/>
  <cols>
    <col min="1" max="1" width="7" style="4" customWidth="1"/>
    <col min="2" max="2" width="14.09765625" style="12" customWidth="1"/>
    <col min="3" max="3" width="36.69921875" style="4" customWidth="1"/>
    <col min="4" max="4" width="12" style="3" customWidth="1"/>
    <col min="5" max="5" width="14.59765625" style="3" customWidth="1"/>
    <col min="6" max="6" width="12" style="3" customWidth="1"/>
    <col min="7" max="7" width="14.3984375" style="3" customWidth="1"/>
    <col min="8" max="8" width="13.5" style="3" customWidth="1"/>
    <col min="9" max="9" width="13.59765625" style="3" customWidth="1"/>
    <col min="10" max="10" width="12" style="3" customWidth="1"/>
    <col min="11" max="11" width="14.09765625" style="3" customWidth="1"/>
    <col min="12" max="12" width="12" style="3" customWidth="1"/>
    <col min="13" max="13" width="15.3984375" style="3" customWidth="1"/>
    <col min="14" max="14" width="12" style="3" customWidth="1"/>
    <col min="15" max="15" width="13.796875" style="3" customWidth="1"/>
    <col min="16" max="16" width="12" style="3" customWidth="1"/>
    <col min="17" max="17" width="15.5" style="3" customWidth="1"/>
    <col min="18" max="18" width="13" style="3" customWidth="1"/>
    <col min="19" max="19" width="13.8984375" style="3" customWidth="1"/>
    <col min="20" max="20" width="12" style="3" customWidth="1"/>
    <col min="21" max="21" width="14.19921875" style="3" customWidth="1"/>
    <col min="22" max="22" width="12" style="3" customWidth="1"/>
    <col min="23" max="23" width="13.296875" style="3" customWidth="1"/>
    <col min="24" max="24" width="12" style="3" customWidth="1"/>
    <col min="25" max="25" width="12.8984375" style="3" customWidth="1"/>
    <col min="26" max="26" width="12" style="3" customWidth="1"/>
    <col min="27" max="27" width="13.296875" style="3" customWidth="1"/>
    <col min="28" max="29" width="14.59765625" style="4" customWidth="1"/>
    <col min="30" max="30" width="15.59765625" style="4" customWidth="1"/>
    <col min="31" max="31" width="14.59765625" style="4" customWidth="1"/>
    <col min="32" max="16384" width="8.8984375" style="4"/>
  </cols>
  <sheetData>
    <row r="1" spans="1:29" x14ac:dyDescent="0.35">
      <c r="A1" s="199" t="s">
        <v>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5"/>
    </row>
    <row r="2" spans="1:29" x14ac:dyDescent="0.35">
      <c r="A2" s="200" t="s">
        <v>0</v>
      </c>
      <c r="B2" s="200" t="s">
        <v>1</v>
      </c>
      <c r="C2" s="202" t="s">
        <v>2</v>
      </c>
      <c r="D2" s="197" t="s">
        <v>51</v>
      </c>
      <c r="E2" s="198"/>
      <c r="F2" s="197" t="s">
        <v>52</v>
      </c>
      <c r="G2" s="198"/>
      <c r="H2" s="197" t="s">
        <v>53</v>
      </c>
      <c r="I2" s="198"/>
      <c r="J2" s="197" t="s">
        <v>54</v>
      </c>
      <c r="K2" s="198"/>
      <c r="L2" s="197" t="s">
        <v>55</v>
      </c>
      <c r="M2" s="198"/>
      <c r="N2" s="197" t="s">
        <v>56</v>
      </c>
      <c r="O2" s="198"/>
      <c r="P2" s="197" t="s">
        <v>57</v>
      </c>
      <c r="Q2" s="198"/>
      <c r="R2" s="197" t="s">
        <v>58</v>
      </c>
      <c r="S2" s="198"/>
      <c r="T2" s="197" t="s">
        <v>59</v>
      </c>
      <c r="U2" s="198"/>
      <c r="V2" s="197" t="s">
        <v>60</v>
      </c>
      <c r="W2" s="198"/>
      <c r="X2" s="197" t="s">
        <v>61</v>
      </c>
      <c r="Y2" s="198"/>
      <c r="Z2" s="197" t="s">
        <v>62</v>
      </c>
      <c r="AA2" s="198"/>
      <c r="AB2" s="195" t="s">
        <v>24</v>
      </c>
      <c r="AC2" s="196"/>
    </row>
    <row r="3" spans="1:29" x14ac:dyDescent="0.35">
      <c r="A3" s="201"/>
      <c r="B3" s="201"/>
      <c r="C3" s="203"/>
      <c r="D3" s="6" t="s">
        <v>3</v>
      </c>
      <c r="E3" s="6" t="s">
        <v>39</v>
      </c>
      <c r="F3" s="6" t="s">
        <v>3</v>
      </c>
      <c r="G3" s="6" t="s">
        <v>39</v>
      </c>
      <c r="H3" s="6" t="s">
        <v>3</v>
      </c>
      <c r="I3" s="6" t="s">
        <v>39</v>
      </c>
      <c r="J3" s="6" t="s">
        <v>3</v>
      </c>
      <c r="K3" s="6" t="s">
        <v>39</v>
      </c>
      <c r="L3" s="6" t="s">
        <v>3</v>
      </c>
      <c r="M3" s="6" t="s">
        <v>39</v>
      </c>
      <c r="N3" s="6" t="s">
        <v>3</v>
      </c>
      <c r="O3" s="6" t="s">
        <v>39</v>
      </c>
      <c r="P3" s="6" t="s">
        <v>3</v>
      </c>
      <c r="Q3" s="6" t="s">
        <v>39</v>
      </c>
      <c r="R3" s="6" t="s">
        <v>3</v>
      </c>
      <c r="S3" s="6" t="s">
        <v>39</v>
      </c>
      <c r="T3" s="6" t="s">
        <v>3</v>
      </c>
      <c r="U3" s="6" t="s">
        <v>39</v>
      </c>
      <c r="V3" s="6" t="s">
        <v>3</v>
      </c>
      <c r="W3" s="6" t="s">
        <v>39</v>
      </c>
      <c r="X3" s="6" t="s">
        <v>3</v>
      </c>
      <c r="Y3" s="6" t="s">
        <v>39</v>
      </c>
      <c r="Z3" s="6" t="s">
        <v>3</v>
      </c>
      <c r="AA3" s="6" t="s">
        <v>39</v>
      </c>
      <c r="AB3" s="6" t="s">
        <v>3</v>
      </c>
      <c r="AC3" s="6" t="s">
        <v>39</v>
      </c>
    </row>
    <row r="4" spans="1:29" x14ac:dyDescent="0.35">
      <c r="A4" s="36">
        <v>1</v>
      </c>
      <c r="B4" s="37" t="s">
        <v>42</v>
      </c>
      <c r="C4" s="38" t="s">
        <v>43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9">
        <v>364</v>
      </c>
      <c r="U4" s="39">
        <v>4162.43</v>
      </c>
      <c r="V4" s="20">
        <v>255</v>
      </c>
      <c r="W4" s="40">
        <v>4906.54</v>
      </c>
      <c r="X4" s="39">
        <v>707</v>
      </c>
      <c r="Y4" s="39">
        <v>8344.11</v>
      </c>
      <c r="Z4" s="39">
        <v>640</v>
      </c>
      <c r="AA4" s="39">
        <v>7020.87</v>
      </c>
      <c r="AB4" s="2">
        <f>+D4+F4+H4+J4+L4+N4+P4+R4+T4+V4+X4+Z4</f>
        <v>1966</v>
      </c>
      <c r="AC4" s="2">
        <f>+E4+G4+I4+K4+M4+O4+Q4+S4+U4+W4+Y4+AA4</f>
        <v>24433.95</v>
      </c>
    </row>
    <row r="5" spans="1:29" x14ac:dyDescent="0.35">
      <c r="A5" s="36">
        <v>2</v>
      </c>
      <c r="B5" s="37" t="s">
        <v>44</v>
      </c>
      <c r="C5" s="38" t="s">
        <v>45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9">
        <v>334.1</v>
      </c>
      <c r="V5" s="34">
        <v>0</v>
      </c>
      <c r="W5" s="40">
        <v>334.1</v>
      </c>
      <c r="X5" s="34">
        <v>0</v>
      </c>
      <c r="Y5" s="39">
        <v>334.1</v>
      </c>
      <c r="Z5" s="34">
        <v>0</v>
      </c>
      <c r="AA5" s="39">
        <v>334.1</v>
      </c>
      <c r="AB5" s="2">
        <f t="shared" ref="AB5:AB28" si="0">+D5+F5+H5+J5+L5+N5+P5+R5+T5+V5+X5+Z5</f>
        <v>0</v>
      </c>
      <c r="AC5" s="2">
        <f t="shared" ref="AC5:AC28" si="1">+E5+G5+I5+K5+M5+O5+Q5+S5+U5+W5+Y5+AA5</f>
        <v>1336.4</v>
      </c>
    </row>
    <row r="6" spans="1:29" x14ac:dyDescent="0.35">
      <c r="A6" s="36">
        <v>3</v>
      </c>
      <c r="B6" s="8" t="s">
        <v>4</v>
      </c>
      <c r="C6" s="2" t="s">
        <v>25</v>
      </c>
      <c r="D6" s="2">
        <v>67000</v>
      </c>
      <c r="E6" s="18">
        <v>348495.81</v>
      </c>
      <c r="F6" s="2">
        <v>70000</v>
      </c>
      <c r="G6" s="18">
        <v>376170.31</v>
      </c>
      <c r="H6" s="2">
        <v>63000</v>
      </c>
      <c r="I6" s="18">
        <v>332411.11</v>
      </c>
      <c r="J6" s="2">
        <v>64000</v>
      </c>
      <c r="K6" s="18">
        <v>384123.7</v>
      </c>
      <c r="L6" s="2">
        <v>72000</v>
      </c>
      <c r="M6" s="18">
        <v>436059.74</v>
      </c>
      <c r="N6" s="2">
        <v>89000</v>
      </c>
      <c r="O6" s="18">
        <v>544533.68000000005</v>
      </c>
      <c r="P6" s="2">
        <v>86000</v>
      </c>
      <c r="Q6" s="18">
        <v>510201.93</v>
      </c>
      <c r="R6" s="2">
        <v>97000</v>
      </c>
      <c r="S6" s="18">
        <v>516228.9</v>
      </c>
      <c r="T6" s="2">
        <v>82000</v>
      </c>
      <c r="U6" s="18">
        <v>444047.44</v>
      </c>
      <c r="V6" s="2">
        <v>80000</v>
      </c>
      <c r="W6" s="18">
        <v>421733.44</v>
      </c>
      <c r="X6" s="2">
        <v>87000</v>
      </c>
      <c r="Y6" s="18">
        <v>476145.97</v>
      </c>
      <c r="Z6" s="2">
        <v>88000</v>
      </c>
      <c r="AA6" s="18">
        <v>445048.85</v>
      </c>
      <c r="AB6" s="2">
        <f t="shared" si="0"/>
        <v>945000</v>
      </c>
      <c r="AC6" s="2">
        <f t="shared" si="1"/>
        <v>5235200.88</v>
      </c>
    </row>
    <row r="7" spans="1:29" x14ac:dyDescent="0.35">
      <c r="A7" s="36">
        <v>4</v>
      </c>
      <c r="B7" s="8" t="s">
        <v>5</v>
      </c>
      <c r="C7" s="2" t="s">
        <v>48</v>
      </c>
      <c r="D7" s="2">
        <v>148000</v>
      </c>
      <c r="E7" s="18">
        <v>784757.83</v>
      </c>
      <c r="F7" s="2">
        <v>154000</v>
      </c>
      <c r="G7" s="19">
        <v>837812.23</v>
      </c>
      <c r="H7" s="2">
        <v>121000</v>
      </c>
      <c r="I7" s="18">
        <v>642312.14</v>
      </c>
      <c r="J7" s="2">
        <v>135000</v>
      </c>
      <c r="K7" s="18">
        <v>826658.32</v>
      </c>
      <c r="L7" s="2">
        <v>160000</v>
      </c>
      <c r="M7" s="18">
        <v>973698.2</v>
      </c>
      <c r="N7" s="2">
        <v>200000</v>
      </c>
      <c r="O7" s="18">
        <v>1211333.82</v>
      </c>
      <c r="P7" s="2">
        <v>186000</v>
      </c>
      <c r="Q7" s="18">
        <v>1119211.47</v>
      </c>
      <c r="R7" s="2">
        <v>225000</v>
      </c>
      <c r="S7" s="18">
        <v>1193582.75</v>
      </c>
      <c r="T7" s="2">
        <v>177000</v>
      </c>
      <c r="U7" s="18">
        <v>945465.35</v>
      </c>
      <c r="V7" s="2">
        <v>162000</v>
      </c>
      <c r="W7" s="18">
        <v>853294.6</v>
      </c>
      <c r="X7" s="2">
        <v>195000</v>
      </c>
      <c r="Y7" s="18">
        <v>1064867.52</v>
      </c>
      <c r="Z7" s="2">
        <v>182000</v>
      </c>
      <c r="AA7" s="18">
        <v>914361.58</v>
      </c>
      <c r="AB7" s="2">
        <f t="shared" si="0"/>
        <v>2045000</v>
      </c>
      <c r="AC7" s="2">
        <f t="shared" si="1"/>
        <v>11367355.809999999</v>
      </c>
    </row>
    <row r="8" spans="1:29" x14ac:dyDescent="0.35">
      <c r="A8" s="36">
        <v>5</v>
      </c>
      <c r="B8" s="8" t="s">
        <v>6</v>
      </c>
      <c r="C8" s="2" t="s">
        <v>49</v>
      </c>
      <c r="D8" s="2">
        <v>138000</v>
      </c>
      <c r="E8" s="18">
        <v>716275.67</v>
      </c>
      <c r="F8" s="2">
        <v>149000</v>
      </c>
      <c r="G8" s="18">
        <v>794199.05</v>
      </c>
      <c r="H8" s="2">
        <v>129000</v>
      </c>
      <c r="I8" s="18">
        <v>678399.99</v>
      </c>
      <c r="J8" s="2">
        <v>124000</v>
      </c>
      <c r="K8" s="18">
        <v>758973.47</v>
      </c>
      <c r="L8" s="2">
        <v>143000</v>
      </c>
      <c r="M8" s="18">
        <v>894634.92</v>
      </c>
      <c r="N8" s="2">
        <v>173000</v>
      </c>
      <c r="O8" s="18">
        <v>1044312.39</v>
      </c>
      <c r="P8" s="2">
        <v>157000</v>
      </c>
      <c r="Q8" s="18">
        <v>964179.39</v>
      </c>
      <c r="R8" s="2">
        <v>179000</v>
      </c>
      <c r="S8" s="18">
        <v>977216.73</v>
      </c>
      <c r="T8" s="2">
        <v>148000</v>
      </c>
      <c r="U8" s="18">
        <v>800158.02</v>
      </c>
      <c r="V8" s="3">
        <v>154000</v>
      </c>
      <c r="W8" s="18">
        <v>833680.27</v>
      </c>
      <c r="X8" s="2">
        <v>179000</v>
      </c>
      <c r="Y8" s="18">
        <v>969109.33</v>
      </c>
      <c r="Z8" s="2">
        <v>172000</v>
      </c>
      <c r="AA8" s="18">
        <v>898450.45</v>
      </c>
      <c r="AB8" s="2">
        <f t="shared" si="0"/>
        <v>1845000</v>
      </c>
      <c r="AC8" s="2">
        <f t="shared" si="1"/>
        <v>10329589.679999998</v>
      </c>
    </row>
    <row r="9" spans="1:29" x14ac:dyDescent="0.35">
      <c r="A9" s="36">
        <v>6</v>
      </c>
      <c r="B9" s="8" t="s">
        <v>7</v>
      </c>
      <c r="C9" s="2" t="s">
        <v>21</v>
      </c>
      <c r="D9" s="2">
        <v>933000</v>
      </c>
      <c r="E9" s="19">
        <v>4263033.57</v>
      </c>
      <c r="F9" s="2">
        <v>950000</v>
      </c>
      <c r="G9" s="19">
        <v>4453808.0599999996</v>
      </c>
      <c r="H9" s="2">
        <v>853000</v>
      </c>
      <c r="I9" s="2">
        <v>3943768.59</v>
      </c>
      <c r="J9" s="2">
        <v>790000</v>
      </c>
      <c r="K9" s="2">
        <v>4234749.1399999997</v>
      </c>
      <c r="L9" s="2">
        <v>758000</v>
      </c>
      <c r="M9" s="2">
        <v>4078974.86</v>
      </c>
      <c r="N9" s="2">
        <v>852000</v>
      </c>
      <c r="O9" s="19">
        <v>4592269.2300000004</v>
      </c>
      <c r="P9" s="2">
        <v>777000</v>
      </c>
      <c r="Q9" s="2">
        <v>4108147.58</v>
      </c>
      <c r="R9" s="2">
        <v>908000</v>
      </c>
      <c r="S9" s="2">
        <v>4245280.13</v>
      </c>
      <c r="T9" s="20">
        <v>836000</v>
      </c>
      <c r="U9" s="40">
        <v>3932061</v>
      </c>
      <c r="V9" s="16">
        <v>836000</v>
      </c>
      <c r="W9" s="20">
        <v>3932061</v>
      </c>
      <c r="X9" s="2">
        <v>839000</v>
      </c>
      <c r="Y9" s="18">
        <v>3956370.28</v>
      </c>
      <c r="Z9" s="2">
        <v>851000</v>
      </c>
      <c r="AA9" s="27">
        <v>3827371.9</v>
      </c>
      <c r="AB9" s="2">
        <f t="shared" si="0"/>
        <v>10183000</v>
      </c>
      <c r="AC9" s="2">
        <f t="shared" si="1"/>
        <v>49567895.340000004</v>
      </c>
    </row>
    <row r="10" spans="1:29" x14ac:dyDescent="0.35">
      <c r="A10" s="36">
        <v>7</v>
      </c>
      <c r="B10" s="8" t="s">
        <v>46</v>
      </c>
      <c r="C10" s="2" t="s">
        <v>47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  <c r="I10" s="28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41">
        <v>0</v>
      </c>
      <c r="S10" s="41">
        <v>0</v>
      </c>
      <c r="T10" s="2">
        <v>102000</v>
      </c>
      <c r="U10" s="19">
        <v>841949.62</v>
      </c>
      <c r="V10" s="2">
        <v>19000</v>
      </c>
      <c r="W10" s="18">
        <v>156833.75</v>
      </c>
      <c r="X10" s="42">
        <v>0</v>
      </c>
      <c r="Y10" s="42">
        <v>0</v>
      </c>
      <c r="Z10" s="42">
        <v>0</v>
      </c>
      <c r="AA10" s="42">
        <v>0</v>
      </c>
      <c r="AB10" s="2">
        <f t="shared" si="0"/>
        <v>121000</v>
      </c>
      <c r="AC10" s="2">
        <f t="shared" si="1"/>
        <v>998783.37</v>
      </c>
    </row>
    <row r="11" spans="1:29" x14ac:dyDescent="0.35">
      <c r="A11" s="36">
        <v>8</v>
      </c>
      <c r="B11" s="8" t="s">
        <v>8</v>
      </c>
      <c r="C11" s="2" t="s">
        <v>26</v>
      </c>
      <c r="D11" s="2">
        <v>56000</v>
      </c>
      <c r="E11" s="2">
        <v>288120.87</v>
      </c>
      <c r="F11" s="2">
        <v>59000</v>
      </c>
      <c r="G11" s="2">
        <v>308500.86</v>
      </c>
      <c r="H11" s="2">
        <v>51000</v>
      </c>
      <c r="I11" s="2">
        <v>268513.40999999997</v>
      </c>
      <c r="J11" s="2">
        <v>53000</v>
      </c>
      <c r="K11" s="2">
        <v>310338.74</v>
      </c>
      <c r="L11" s="2">
        <v>59000</v>
      </c>
      <c r="M11" s="13">
        <v>343779.63</v>
      </c>
      <c r="N11" s="2">
        <v>69000</v>
      </c>
      <c r="O11" s="2">
        <v>399087.72</v>
      </c>
      <c r="P11" s="2">
        <v>63000</v>
      </c>
      <c r="Q11" s="2">
        <v>363861.81</v>
      </c>
      <c r="R11" s="2">
        <v>78000</v>
      </c>
      <c r="S11" s="2">
        <v>397506.35</v>
      </c>
      <c r="T11" s="2">
        <v>73000</v>
      </c>
      <c r="U11" s="2">
        <v>378539.65</v>
      </c>
      <c r="V11" s="2">
        <v>74000</v>
      </c>
      <c r="W11" s="2">
        <v>374953.13</v>
      </c>
      <c r="X11" s="2">
        <v>84000</v>
      </c>
      <c r="Y11" s="2">
        <v>431801.98</v>
      </c>
      <c r="Z11" s="2">
        <v>79000</v>
      </c>
      <c r="AA11" s="2">
        <v>375496.57</v>
      </c>
      <c r="AB11" s="2">
        <f t="shared" si="0"/>
        <v>798000</v>
      </c>
      <c r="AC11" s="2">
        <f t="shared" si="1"/>
        <v>4240500.72</v>
      </c>
    </row>
    <row r="12" spans="1:29" x14ac:dyDescent="0.35">
      <c r="A12" s="36">
        <v>9</v>
      </c>
      <c r="B12" s="8" t="s">
        <v>9</v>
      </c>
      <c r="C12" s="2" t="s">
        <v>27</v>
      </c>
      <c r="D12" s="2">
        <v>36000</v>
      </c>
      <c r="E12" s="2">
        <v>190363.06</v>
      </c>
      <c r="F12" s="2">
        <v>38000</v>
      </c>
      <c r="G12" s="2">
        <v>201300</v>
      </c>
      <c r="H12" s="2">
        <v>33000</v>
      </c>
      <c r="I12" s="2">
        <v>176150.71</v>
      </c>
      <c r="J12" s="2">
        <v>34000</v>
      </c>
      <c r="K12" s="2">
        <v>204719.09</v>
      </c>
      <c r="L12" s="2">
        <v>35000</v>
      </c>
      <c r="M12" s="2">
        <v>211991.39</v>
      </c>
      <c r="N12" s="2">
        <v>46000</v>
      </c>
      <c r="O12" s="2">
        <v>276831.53000000003</v>
      </c>
      <c r="P12" s="2">
        <v>40000</v>
      </c>
      <c r="Q12" s="2">
        <v>246283.38</v>
      </c>
      <c r="R12" s="2">
        <v>49000</v>
      </c>
      <c r="S12" s="2">
        <v>260020.11</v>
      </c>
      <c r="T12" s="2">
        <v>46000</v>
      </c>
      <c r="U12" s="2">
        <v>246601.51</v>
      </c>
      <c r="V12" s="2">
        <v>43000</v>
      </c>
      <c r="W12" s="2">
        <v>223448.72</v>
      </c>
      <c r="X12" s="2">
        <v>39000</v>
      </c>
      <c r="Y12" s="2">
        <v>208970.89</v>
      </c>
      <c r="Z12" s="2">
        <v>37000</v>
      </c>
      <c r="AA12" s="2">
        <v>189425.15</v>
      </c>
      <c r="AB12" s="2">
        <f t="shared" si="0"/>
        <v>476000</v>
      </c>
      <c r="AC12" s="2">
        <f t="shared" si="1"/>
        <v>2636105.54</v>
      </c>
    </row>
    <row r="13" spans="1:29" x14ac:dyDescent="0.35">
      <c r="A13" s="36">
        <v>10</v>
      </c>
      <c r="B13" s="8" t="s">
        <v>10</v>
      </c>
      <c r="C13" s="2" t="s">
        <v>28</v>
      </c>
      <c r="D13" s="2">
        <v>90000</v>
      </c>
      <c r="E13" s="2">
        <v>517807.24</v>
      </c>
      <c r="F13" s="2">
        <v>93000</v>
      </c>
      <c r="G13" s="2">
        <v>548433.82999999996</v>
      </c>
      <c r="H13" s="2">
        <v>86000</v>
      </c>
      <c r="I13" s="2">
        <v>496392.31</v>
      </c>
      <c r="J13" s="2">
        <v>89000</v>
      </c>
      <c r="K13" s="2">
        <v>576266.28</v>
      </c>
      <c r="L13" s="2">
        <v>90000</v>
      </c>
      <c r="M13" s="2">
        <v>585305.4</v>
      </c>
      <c r="N13" s="2">
        <v>106000</v>
      </c>
      <c r="O13" s="2">
        <v>688548.55</v>
      </c>
      <c r="P13" s="2">
        <v>92000</v>
      </c>
      <c r="Q13" s="2">
        <v>607234.24</v>
      </c>
      <c r="R13" s="2">
        <v>116000</v>
      </c>
      <c r="S13" s="2">
        <v>668074.4</v>
      </c>
      <c r="T13" s="2">
        <v>112000</v>
      </c>
      <c r="U13" s="2">
        <v>647306.22</v>
      </c>
      <c r="V13" s="2">
        <v>99000</v>
      </c>
      <c r="W13" s="3">
        <v>574985.28</v>
      </c>
      <c r="X13" s="2">
        <v>106000</v>
      </c>
      <c r="Y13" s="2">
        <v>616314.01</v>
      </c>
      <c r="Z13" s="2">
        <v>102000</v>
      </c>
      <c r="AA13" s="2">
        <v>557726.03</v>
      </c>
      <c r="AB13" s="2">
        <f t="shared" si="0"/>
        <v>1181000</v>
      </c>
      <c r="AC13" s="2">
        <f t="shared" si="1"/>
        <v>7084393.790000001</v>
      </c>
    </row>
    <row r="14" spans="1:29" x14ac:dyDescent="0.35">
      <c r="A14" s="36">
        <v>11</v>
      </c>
      <c r="B14" s="8" t="s">
        <v>11</v>
      </c>
      <c r="C14" s="2" t="s">
        <v>29</v>
      </c>
      <c r="D14" s="2">
        <v>72000</v>
      </c>
      <c r="E14" s="2">
        <v>383136.18</v>
      </c>
      <c r="F14" s="2">
        <v>73000</v>
      </c>
      <c r="G14" s="2">
        <v>401101.83</v>
      </c>
      <c r="H14" s="2">
        <v>59000</v>
      </c>
      <c r="I14" s="2">
        <v>325188.56</v>
      </c>
      <c r="J14" s="2">
        <v>67000</v>
      </c>
      <c r="K14" s="2">
        <v>406082.83</v>
      </c>
      <c r="L14" s="2">
        <v>77000</v>
      </c>
      <c r="M14" s="2">
        <v>475977.11</v>
      </c>
      <c r="N14" s="2">
        <v>92000</v>
      </c>
      <c r="O14" s="2">
        <v>568610.32999999996</v>
      </c>
      <c r="P14" s="2">
        <v>84000</v>
      </c>
      <c r="Q14" s="2">
        <v>519046.09</v>
      </c>
      <c r="R14" s="2">
        <v>101000</v>
      </c>
      <c r="S14" s="2">
        <v>545403.14</v>
      </c>
      <c r="T14" s="2">
        <v>77000</v>
      </c>
      <c r="U14" s="2">
        <v>423469.96</v>
      </c>
      <c r="V14" s="2">
        <v>76000</v>
      </c>
      <c r="W14" s="2">
        <v>409515.36</v>
      </c>
      <c r="X14" s="2">
        <v>91000</v>
      </c>
      <c r="Y14" s="2">
        <v>503835.65</v>
      </c>
      <c r="Z14" s="2">
        <v>90000</v>
      </c>
      <c r="AA14" s="2">
        <v>472690.48</v>
      </c>
      <c r="AB14" s="2">
        <f t="shared" si="0"/>
        <v>959000</v>
      </c>
      <c r="AC14" s="2">
        <f t="shared" si="1"/>
        <v>5434057.5200000014</v>
      </c>
    </row>
    <row r="15" spans="1:29" x14ac:dyDescent="0.35">
      <c r="A15" s="36">
        <v>12</v>
      </c>
      <c r="B15" s="8" t="s">
        <v>12</v>
      </c>
      <c r="C15" s="2" t="s">
        <v>30</v>
      </c>
      <c r="D15" s="2">
        <v>54000</v>
      </c>
      <c r="E15" s="2">
        <v>298248.90000000002</v>
      </c>
      <c r="F15" s="2">
        <v>61000</v>
      </c>
      <c r="G15" s="2">
        <v>346666.9</v>
      </c>
      <c r="H15" s="2">
        <v>46000</v>
      </c>
      <c r="I15" s="2">
        <v>255843.45</v>
      </c>
      <c r="J15" s="2">
        <v>45000</v>
      </c>
      <c r="K15" s="2">
        <v>284461.90999999997</v>
      </c>
      <c r="L15" s="2">
        <v>56000</v>
      </c>
      <c r="M15" s="2">
        <v>357235.21</v>
      </c>
      <c r="N15" s="2">
        <v>72000</v>
      </c>
      <c r="O15" s="2">
        <v>468219.05</v>
      </c>
      <c r="P15" s="2">
        <v>65000</v>
      </c>
      <c r="Q15" s="2">
        <v>413552.66</v>
      </c>
      <c r="R15" s="2">
        <v>79000</v>
      </c>
      <c r="S15" s="2">
        <v>437488.14</v>
      </c>
      <c r="T15" s="2">
        <v>62000</v>
      </c>
      <c r="U15" s="2">
        <v>343277.14</v>
      </c>
      <c r="V15" s="2">
        <v>61000</v>
      </c>
      <c r="W15" s="19">
        <v>340274.65</v>
      </c>
      <c r="X15" s="2">
        <v>85000</v>
      </c>
      <c r="Y15" s="19">
        <v>474327.99</v>
      </c>
      <c r="Z15" s="2">
        <v>72000</v>
      </c>
      <c r="AA15" s="19">
        <v>378055.65</v>
      </c>
      <c r="AB15" s="2">
        <f t="shared" si="0"/>
        <v>758000</v>
      </c>
      <c r="AC15" s="2">
        <f t="shared" si="1"/>
        <v>4397651.6500000004</v>
      </c>
    </row>
    <row r="16" spans="1:29" x14ac:dyDescent="0.35">
      <c r="A16" s="36">
        <v>13</v>
      </c>
      <c r="B16" s="8" t="s">
        <v>13</v>
      </c>
      <c r="C16" s="2" t="s">
        <v>31</v>
      </c>
      <c r="D16" s="2">
        <v>163000</v>
      </c>
      <c r="E16" s="2">
        <v>780773.16</v>
      </c>
      <c r="F16" s="2">
        <v>171000</v>
      </c>
      <c r="G16" s="2">
        <v>866501.28</v>
      </c>
      <c r="H16" s="2">
        <v>145000</v>
      </c>
      <c r="I16" s="2">
        <v>704184.03</v>
      </c>
      <c r="J16" s="2">
        <v>144000</v>
      </c>
      <c r="K16" s="2">
        <v>805287.05</v>
      </c>
      <c r="L16" s="2">
        <v>145000</v>
      </c>
      <c r="M16" s="2">
        <v>834115.05</v>
      </c>
      <c r="N16" s="2">
        <v>184000</v>
      </c>
      <c r="O16" s="2">
        <v>1064478.3700000001</v>
      </c>
      <c r="P16" s="2">
        <v>189000</v>
      </c>
      <c r="Q16" s="2">
        <v>1061334.18</v>
      </c>
      <c r="R16" s="2">
        <v>222000</v>
      </c>
      <c r="S16" s="2">
        <v>1112449.72</v>
      </c>
      <c r="T16" s="2">
        <v>187000</v>
      </c>
      <c r="U16" s="2">
        <v>931532.80000000005</v>
      </c>
      <c r="V16" s="2">
        <v>189000</v>
      </c>
      <c r="W16" s="19">
        <v>926699.57</v>
      </c>
      <c r="X16" s="2">
        <v>190000</v>
      </c>
      <c r="Y16" s="19">
        <v>942296.96</v>
      </c>
      <c r="Z16" s="2">
        <v>186000</v>
      </c>
      <c r="AA16" s="19">
        <v>885130.66</v>
      </c>
      <c r="AB16" s="2">
        <f t="shared" si="0"/>
        <v>2115000</v>
      </c>
      <c r="AC16" s="2">
        <f t="shared" si="1"/>
        <v>10914782.829999998</v>
      </c>
    </row>
    <row r="17" spans="1:31" x14ac:dyDescent="0.35">
      <c r="A17" s="36">
        <v>14</v>
      </c>
      <c r="B17" s="8" t="s">
        <v>14</v>
      </c>
      <c r="C17" s="2" t="s">
        <v>35</v>
      </c>
      <c r="D17" s="2">
        <v>1713</v>
      </c>
      <c r="E17" s="2">
        <v>9624.67</v>
      </c>
      <c r="F17" s="2">
        <v>1872</v>
      </c>
      <c r="G17" s="19">
        <v>10535.88</v>
      </c>
      <c r="H17" s="2">
        <v>2199</v>
      </c>
      <c r="I17" s="2">
        <v>12409.9</v>
      </c>
      <c r="J17" s="2">
        <v>2486</v>
      </c>
      <c r="K17" s="2">
        <v>15676.55</v>
      </c>
      <c r="L17" s="2">
        <v>2359</v>
      </c>
      <c r="M17" s="2">
        <v>14865.16</v>
      </c>
      <c r="N17" s="2">
        <v>3044</v>
      </c>
      <c r="O17" s="2">
        <v>19241.52</v>
      </c>
      <c r="P17" s="2">
        <v>2938</v>
      </c>
      <c r="Q17" s="2">
        <v>18564.310000000001</v>
      </c>
      <c r="R17" s="2">
        <v>3214</v>
      </c>
      <c r="S17" s="2">
        <v>18135.98</v>
      </c>
      <c r="T17" s="2">
        <v>2845</v>
      </c>
      <c r="U17" s="2">
        <v>16030.12</v>
      </c>
      <c r="V17" s="2">
        <v>2764</v>
      </c>
      <c r="W17" s="2">
        <v>15567.85</v>
      </c>
      <c r="X17" s="2">
        <v>2645</v>
      </c>
      <c r="Y17" s="2">
        <v>14888.73</v>
      </c>
      <c r="Z17" s="2">
        <v>2752</v>
      </c>
      <c r="AA17" s="2">
        <v>14783.82</v>
      </c>
      <c r="AB17" s="2">
        <f t="shared" si="0"/>
        <v>30831</v>
      </c>
      <c r="AC17" s="2">
        <f t="shared" si="1"/>
        <v>180324.49000000002</v>
      </c>
    </row>
    <row r="18" spans="1:31" x14ac:dyDescent="0.35">
      <c r="A18" s="36">
        <v>15</v>
      </c>
      <c r="B18" s="8" t="s">
        <v>15</v>
      </c>
      <c r="C18" s="2" t="s">
        <v>32</v>
      </c>
      <c r="D18" s="2">
        <v>34000</v>
      </c>
      <c r="E18" s="2">
        <v>178398.46</v>
      </c>
      <c r="F18" s="2">
        <v>35000</v>
      </c>
      <c r="G18" s="2">
        <v>186687.62</v>
      </c>
      <c r="H18" s="2">
        <v>30000</v>
      </c>
      <c r="I18" s="2">
        <v>153647.85999999999</v>
      </c>
      <c r="J18" s="2">
        <v>27000</v>
      </c>
      <c r="K18" s="2">
        <v>159185.92000000001</v>
      </c>
      <c r="L18" s="2">
        <v>26000</v>
      </c>
      <c r="M18" s="2">
        <v>153762.68</v>
      </c>
      <c r="N18" s="2">
        <v>32000</v>
      </c>
      <c r="O18" s="2">
        <v>188040.97</v>
      </c>
      <c r="P18" s="2">
        <v>31000</v>
      </c>
      <c r="Q18" s="2">
        <v>180373.98</v>
      </c>
      <c r="R18" s="2">
        <v>40000</v>
      </c>
      <c r="S18" s="2">
        <v>208782.02</v>
      </c>
      <c r="T18" s="2">
        <v>34000</v>
      </c>
      <c r="U18" s="2">
        <v>181818.58</v>
      </c>
      <c r="V18" s="2">
        <v>32000</v>
      </c>
      <c r="W18" s="2">
        <v>168211.1</v>
      </c>
      <c r="X18" s="2">
        <v>37000</v>
      </c>
      <c r="Y18" s="2">
        <v>194083.3</v>
      </c>
      <c r="Z18" s="2">
        <v>37000</v>
      </c>
      <c r="AA18" s="2">
        <v>183767.76</v>
      </c>
      <c r="AB18" s="2">
        <f t="shared" si="0"/>
        <v>395000</v>
      </c>
      <c r="AC18" s="2">
        <f t="shared" si="1"/>
        <v>2136760.25</v>
      </c>
    </row>
    <row r="19" spans="1:31" x14ac:dyDescent="0.35">
      <c r="A19" s="36">
        <v>16</v>
      </c>
      <c r="B19" s="8" t="s">
        <v>16</v>
      </c>
      <c r="C19" s="2" t="s">
        <v>33</v>
      </c>
      <c r="D19" s="2">
        <v>95000</v>
      </c>
      <c r="E19" s="2">
        <v>520748.68</v>
      </c>
      <c r="F19" s="2">
        <v>104000</v>
      </c>
      <c r="G19" s="2">
        <v>594026.66</v>
      </c>
      <c r="H19" s="2">
        <v>82000</v>
      </c>
      <c r="I19" s="2">
        <v>475819.99</v>
      </c>
      <c r="J19" s="2">
        <v>82000</v>
      </c>
      <c r="K19" s="2">
        <v>526025.18000000005</v>
      </c>
      <c r="L19" s="2">
        <v>91000</v>
      </c>
      <c r="M19" s="2">
        <v>575561.54</v>
      </c>
      <c r="N19" s="2">
        <v>107000</v>
      </c>
      <c r="O19" s="2">
        <v>671200</v>
      </c>
      <c r="P19" s="2">
        <v>99000</v>
      </c>
      <c r="Q19" s="2">
        <v>621794</v>
      </c>
      <c r="R19" s="2">
        <v>112000</v>
      </c>
      <c r="S19" s="2">
        <v>624171.75</v>
      </c>
      <c r="T19" s="2">
        <v>94000</v>
      </c>
      <c r="U19" s="2">
        <v>533389.02</v>
      </c>
      <c r="V19" s="2">
        <v>87000</v>
      </c>
      <c r="W19" s="2">
        <v>493973.38</v>
      </c>
      <c r="X19" s="2">
        <v>113000</v>
      </c>
      <c r="Y19" s="2">
        <v>627174.24</v>
      </c>
      <c r="Z19" s="2">
        <v>116000</v>
      </c>
      <c r="AA19" s="2">
        <v>595466.81000000006</v>
      </c>
      <c r="AB19" s="2">
        <f t="shared" si="0"/>
        <v>1182000</v>
      </c>
      <c r="AC19" s="2">
        <f t="shared" si="1"/>
        <v>6859351.25</v>
      </c>
      <c r="AD19" s="15"/>
      <c r="AE19" s="15"/>
    </row>
    <row r="20" spans="1:31" x14ac:dyDescent="0.35">
      <c r="A20" s="36">
        <v>17</v>
      </c>
      <c r="B20" s="8" t="s">
        <v>17</v>
      </c>
      <c r="C20" s="2" t="s">
        <v>34</v>
      </c>
      <c r="D20" s="2">
        <v>136000</v>
      </c>
      <c r="E20" s="2">
        <v>752004.84</v>
      </c>
      <c r="F20" s="2">
        <v>144000</v>
      </c>
      <c r="G20" s="2">
        <v>805598.84</v>
      </c>
      <c r="H20" s="2">
        <v>107000</v>
      </c>
      <c r="I20" s="2">
        <v>583845.77</v>
      </c>
      <c r="J20" s="2">
        <v>111000</v>
      </c>
      <c r="K20" s="2">
        <v>678609.09</v>
      </c>
      <c r="L20" s="2">
        <v>123000</v>
      </c>
      <c r="M20" s="2">
        <v>778329.32</v>
      </c>
      <c r="N20" s="2">
        <v>161000</v>
      </c>
      <c r="O20" s="2">
        <v>994845.51</v>
      </c>
      <c r="P20" s="2">
        <v>157000</v>
      </c>
      <c r="Q20" s="2">
        <v>946952.93</v>
      </c>
      <c r="R20" s="2">
        <v>178000</v>
      </c>
      <c r="S20" s="2">
        <v>962044.21</v>
      </c>
      <c r="T20" s="2">
        <v>154000</v>
      </c>
      <c r="U20" s="2">
        <v>834990.57</v>
      </c>
      <c r="V20" s="2">
        <v>146000</v>
      </c>
      <c r="W20" s="2">
        <v>784843.72</v>
      </c>
      <c r="X20" s="2">
        <v>177000</v>
      </c>
      <c r="Y20" s="2">
        <v>988023.83</v>
      </c>
      <c r="Z20" s="2">
        <v>165000</v>
      </c>
      <c r="AA20" s="2">
        <v>845257.04</v>
      </c>
      <c r="AB20" s="2">
        <f t="shared" si="0"/>
        <v>1759000</v>
      </c>
      <c r="AC20" s="2">
        <f t="shared" si="1"/>
        <v>9955345.6699999981</v>
      </c>
    </row>
    <row r="21" spans="1:31" x14ac:dyDescent="0.35">
      <c r="A21" s="36">
        <v>18</v>
      </c>
      <c r="B21" s="8" t="s">
        <v>18</v>
      </c>
      <c r="C21" s="2" t="s">
        <v>36</v>
      </c>
      <c r="D21" s="2">
        <v>98000</v>
      </c>
      <c r="E21" s="2">
        <v>516241.69</v>
      </c>
      <c r="F21" s="2">
        <v>112000</v>
      </c>
      <c r="G21" s="2">
        <v>604194.59</v>
      </c>
      <c r="H21" s="2">
        <v>87000</v>
      </c>
      <c r="I21" s="2">
        <v>476300.98</v>
      </c>
      <c r="J21" s="2">
        <v>92000</v>
      </c>
      <c r="K21" s="2">
        <v>573542.36</v>
      </c>
      <c r="L21" s="2">
        <v>104000</v>
      </c>
      <c r="M21" s="2">
        <v>633422.59</v>
      </c>
      <c r="N21" s="2">
        <v>133000</v>
      </c>
      <c r="O21" s="20">
        <v>811590.98</v>
      </c>
      <c r="P21" s="2">
        <v>119000</v>
      </c>
      <c r="Q21" s="2">
        <v>726927.06</v>
      </c>
      <c r="R21" s="2">
        <v>145000</v>
      </c>
      <c r="S21" s="2">
        <v>803855.65</v>
      </c>
      <c r="T21" s="2">
        <v>115000</v>
      </c>
      <c r="U21" s="2">
        <v>619985.21</v>
      </c>
      <c r="V21" s="3">
        <v>113000</v>
      </c>
      <c r="W21" s="2">
        <v>597070.25</v>
      </c>
      <c r="X21" s="3">
        <v>165000</v>
      </c>
      <c r="Y21" s="2">
        <v>922261.27</v>
      </c>
      <c r="Z21" s="2">
        <v>164000</v>
      </c>
      <c r="AA21" s="2">
        <v>851317.12</v>
      </c>
      <c r="AB21" s="2">
        <f t="shared" si="0"/>
        <v>1447000</v>
      </c>
      <c r="AC21" s="2">
        <f t="shared" si="1"/>
        <v>8136709.7500000009</v>
      </c>
    </row>
    <row r="22" spans="1:31" x14ac:dyDescent="0.35">
      <c r="A22" s="36">
        <v>19</v>
      </c>
      <c r="B22" s="29" t="s">
        <v>19</v>
      </c>
      <c r="C22" s="2" t="s">
        <v>22</v>
      </c>
      <c r="D22" s="2">
        <v>108000</v>
      </c>
      <c r="E22" s="2">
        <v>564363.73</v>
      </c>
      <c r="F22" s="2">
        <v>125000</v>
      </c>
      <c r="G22" s="2">
        <v>669731.36</v>
      </c>
      <c r="H22" s="2">
        <v>102000</v>
      </c>
      <c r="I22" s="20">
        <v>540176.29</v>
      </c>
      <c r="J22" s="2">
        <v>95000</v>
      </c>
      <c r="K22" s="20">
        <v>568366.6</v>
      </c>
      <c r="L22" s="2">
        <v>105000</v>
      </c>
      <c r="M22" s="20">
        <v>644519.23</v>
      </c>
      <c r="N22" s="2">
        <v>138000</v>
      </c>
      <c r="O22" s="20">
        <v>831248.76</v>
      </c>
      <c r="P22" s="2">
        <v>135000</v>
      </c>
      <c r="Q22" s="20">
        <v>824905.31</v>
      </c>
      <c r="R22" s="2">
        <v>162000</v>
      </c>
      <c r="S22" s="20">
        <v>880097</v>
      </c>
      <c r="T22" s="2">
        <v>157000</v>
      </c>
      <c r="U22" s="19">
        <v>839732.83</v>
      </c>
      <c r="V22" s="2">
        <v>148000</v>
      </c>
      <c r="W22" s="20">
        <v>779882.43</v>
      </c>
      <c r="X22" s="2">
        <v>145000</v>
      </c>
      <c r="Y22" s="20">
        <v>767427.45</v>
      </c>
      <c r="Z22" s="2">
        <v>148000</v>
      </c>
      <c r="AA22" s="19">
        <v>750423.96</v>
      </c>
      <c r="AB22" s="2">
        <f t="shared" si="0"/>
        <v>1568000</v>
      </c>
      <c r="AC22" s="2">
        <f t="shared" si="1"/>
        <v>8660874.9499999993</v>
      </c>
    </row>
    <row r="23" spans="1:31" x14ac:dyDescent="0.35">
      <c r="A23" s="36">
        <v>20</v>
      </c>
      <c r="B23" s="8" t="s">
        <v>20</v>
      </c>
      <c r="C23" s="2" t="s">
        <v>23</v>
      </c>
      <c r="D23" s="2">
        <v>75000</v>
      </c>
      <c r="E23" s="18">
        <v>348637.08</v>
      </c>
      <c r="F23" s="2">
        <v>78000</v>
      </c>
      <c r="G23" s="18">
        <v>368117.97</v>
      </c>
      <c r="H23" s="2">
        <v>58000</v>
      </c>
      <c r="I23" s="18">
        <v>272778.15999999997</v>
      </c>
      <c r="J23" s="2">
        <v>54000</v>
      </c>
      <c r="K23" s="18">
        <v>295424.2</v>
      </c>
      <c r="L23" s="2">
        <v>73000</v>
      </c>
      <c r="M23" s="18">
        <v>392557.77</v>
      </c>
      <c r="N23" s="2">
        <v>94000</v>
      </c>
      <c r="O23" s="18">
        <v>499147.49</v>
      </c>
      <c r="P23" s="2">
        <v>96000</v>
      </c>
      <c r="Q23" s="18">
        <v>503579.21</v>
      </c>
      <c r="R23" s="2">
        <v>110000</v>
      </c>
      <c r="S23" s="18">
        <v>503452.55</v>
      </c>
      <c r="T23" s="2">
        <v>62000</v>
      </c>
      <c r="U23" s="18">
        <v>301131.19</v>
      </c>
      <c r="V23" s="2">
        <v>69000</v>
      </c>
      <c r="W23" s="18">
        <v>327479.03999999998</v>
      </c>
      <c r="X23" s="2">
        <v>105000</v>
      </c>
      <c r="Y23" s="18">
        <v>487773.26</v>
      </c>
      <c r="Z23" s="2">
        <v>95000</v>
      </c>
      <c r="AA23" s="18">
        <v>410190.04</v>
      </c>
      <c r="AB23" s="2">
        <f t="shared" si="0"/>
        <v>969000</v>
      </c>
      <c r="AC23" s="2">
        <f t="shared" si="1"/>
        <v>4710267.96</v>
      </c>
    </row>
    <row r="24" spans="1:31" x14ac:dyDescent="0.35">
      <c r="A24" s="36">
        <v>21</v>
      </c>
      <c r="B24" s="30">
        <v>5701540304</v>
      </c>
      <c r="C24" s="13" t="s">
        <v>37</v>
      </c>
      <c r="D24" s="2">
        <v>62484</v>
      </c>
      <c r="E24" s="21">
        <v>321005.36</v>
      </c>
      <c r="F24" s="2">
        <v>66840</v>
      </c>
      <c r="G24" s="21">
        <v>347805.22</v>
      </c>
      <c r="H24" s="2">
        <v>49092</v>
      </c>
      <c r="I24" s="22">
        <v>252056.88</v>
      </c>
      <c r="J24" s="2">
        <v>54228</v>
      </c>
      <c r="K24" s="21">
        <v>313126.69</v>
      </c>
      <c r="L24" s="2">
        <v>62916</v>
      </c>
      <c r="M24" s="23">
        <v>371293.78</v>
      </c>
      <c r="N24" s="3">
        <v>83196</v>
      </c>
      <c r="O24" s="21">
        <v>488364.77</v>
      </c>
      <c r="P24" s="2">
        <v>81504</v>
      </c>
      <c r="Q24" s="21">
        <v>465237.33</v>
      </c>
      <c r="R24" s="2">
        <v>95340</v>
      </c>
      <c r="S24" s="21">
        <v>497652.6</v>
      </c>
      <c r="T24" s="3">
        <v>63324</v>
      </c>
      <c r="U24" s="22">
        <v>341385.9</v>
      </c>
      <c r="V24" s="2">
        <v>66396</v>
      </c>
      <c r="W24" s="21">
        <v>348472.03</v>
      </c>
      <c r="X24" s="2">
        <v>81420</v>
      </c>
      <c r="Y24" s="21">
        <v>424146.19</v>
      </c>
      <c r="Z24" s="2">
        <v>81228</v>
      </c>
      <c r="AA24" s="21">
        <v>361662.73</v>
      </c>
      <c r="AB24" s="2">
        <f t="shared" si="0"/>
        <v>847968</v>
      </c>
      <c r="AC24" s="2">
        <f t="shared" si="1"/>
        <v>4532209.4799999995</v>
      </c>
      <c r="AD24" s="15"/>
      <c r="AE24" s="15"/>
    </row>
    <row r="25" spans="1:31" x14ac:dyDescent="0.35">
      <c r="A25" s="36">
        <v>22</v>
      </c>
      <c r="B25" s="8">
        <v>20964080</v>
      </c>
      <c r="C25" s="2" t="s">
        <v>37</v>
      </c>
      <c r="D25" s="2">
        <v>1692</v>
      </c>
      <c r="E25" s="22">
        <v>20326.419999999998</v>
      </c>
      <c r="F25" s="2">
        <v>1608</v>
      </c>
      <c r="G25" s="22">
        <v>17822.43</v>
      </c>
      <c r="H25" s="3">
        <v>1460</v>
      </c>
      <c r="I25" s="22">
        <v>11954.25</v>
      </c>
      <c r="J25" s="2">
        <v>1432</v>
      </c>
      <c r="K25" s="22">
        <v>13053.1</v>
      </c>
      <c r="L25" s="2">
        <v>1280</v>
      </c>
      <c r="M25" s="24">
        <v>14278.26</v>
      </c>
      <c r="N25" s="2">
        <v>1240</v>
      </c>
      <c r="O25" s="22">
        <v>11849.43</v>
      </c>
      <c r="P25" s="2">
        <v>996</v>
      </c>
      <c r="Q25" s="22">
        <v>10653.01</v>
      </c>
      <c r="R25" s="2">
        <v>588</v>
      </c>
      <c r="S25" s="22">
        <v>9510.2099999999991</v>
      </c>
      <c r="T25" s="2">
        <v>652</v>
      </c>
      <c r="U25" s="22">
        <v>9632.65</v>
      </c>
      <c r="V25" s="3">
        <v>748</v>
      </c>
      <c r="W25" s="22">
        <v>9666.33</v>
      </c>
      <c r="X25" s="3">
        <v>1212</v>
      </c>
      <c r="Y25" s="22">
        <v>10951.03</v>
      </c>
      <c r="Z25" s="2">
        <v>928</v>
      </c>
      <c r="AA25" s="22">
        <v>9139.83</v>
      </c>
      <c r="AB25" s="2">
        <f t="shared" si="0"/>
        <v>13836</v>
      </c>
      <c r="AC25" s="2">
        <f t="shared" si="1"/>
        <v>148836.94999999998</v>
      </c>
    </row>
    <row r="26" spans="1:31" x14ac:dyDescent="0.35">
      <c r="A26" s="36">
        <v>23</v>
      </c>
      <c r="B26" s="8">
        <v>27685433</v>
      </c>
      <c r="C26" s="2" t="s">
        <v>37</v>
      </c>
      <c r="D26" s="2">
        <v>0</v>
      </c>
      <c r="E26" s="22">
        <v>3779.04</v>
      </c>
      <c r="F26" s="1">
        <v>0</v>
      </c>
      <c r="G26" s="22">
        <v>3779.04</v>
      </c>
      <c r="H26" s="1">
        <v>0</v>
      </c>
      <c r="I26" s="28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41">
        <v>0</v>
      </c>
      <c r="U26" s="28">
        <v>0</v>
      </c>
      <c r="V26" s="41">
        <v>0</v>
      </c>
      <c r="W26" s="28">
        <v>0</v>
      </c>
      <c r="X26" s="35">
        <v>0</v>
      </c>
      <c r="Y26" s="35">
        <v>0</v>
      </c>
      <c r="Z26" s="35">
        <v>0</v>
      </c>
      <c r="AA26" s="35">
        <v>0</v>
      </c>
      <c r="AB26" s="2">
        <f t="shared" si="0"/>
        <v>0</v>
      </c>
      <c r="AC26" s="2">
        <f t="shared" si="1"/>
        <v>7558.08</v>
      </c>
      <c r="AD26" s="15"/>
      <c r="AE26" s="15"/>
    </row>
    <row r="27" spans="1:31" x14ac:dyDescent="0.35">
      <c r="A27" s="36">
        <v>24</v>
      </c>
      <c r="B27" s="10">
        <v>6300579652</v>
      </c>
      <c r="C27" s="2" t="s">
        <v>50</v>
      </c>
      <c r="D27" s="28">
        <v>0</v>
      </c>
      <c r="E27" s="28">
        <v>0</v>
      </c>
      <c r="F27" s="31">
        <v>0</v>
      </c>
      <c r="G27" s="28">
        <v>0</v>
      </c>
      <c r="H27" s="25">
        <v>288.86</v>
      </c>
      <c r="I27" s="22">
        <v>4067.81</v>
      </c>
      <c r="J27" s="25">
        <v>177.89</v>
      </c>
      <c r="K27" s="22">
        <v>4073.92</v>
      </c>
      <c r="L27" s="28">
        <v>257.04000000000002</v>
      </c>
      <c r="M27" s="22">
        <v>4205.12</v>
      </c>
      <c r="N27" s="31">
        <v>288.05</v>
      </c>
      <c r="O27" s="22">
        <v>4256.5200000000004</v>
      </c>
      <c r="P27" s="28">
        <v>236.64</v>
      </c>
      <c r="Q27" s="22">
        <v>1627.47</v>
      </c>
      <c r="R27" s="28">
        <v>180</v>
      </c>
      <c r="S27" s="28">
        <v>1262.53</v>
      </c>
      <c r="T27" s="28">
        <v>0</v>
      </c>
      <c r="U27" s="28">
        <v>0</v>
      </c>
      <c r="V27" s="28">
        <v>0</v>
      </c>
      <c r="W27" s="28">
        <v>0</v>
      </c>
      <c r="X27" s="43">
        <v>175.2</v>
      </c>
      <c r="Y27" s="28">
        <v>1237.77</v>
      </c>
      <c r="Z27" s="28">
        <v>0</v>
      </c>
      <c r="AA27" s="28">
        <v>0</v>
      </c>
      <c r="AB27" s="2">
        <f t="shared" si="0"/>
        <v>1603.68</v>
      </c>
      <c r="AC27" s="2">
        <f t="shared" si="1"/>
        <v>20731.14</v>
      </c>
    </row>
    <row r="28" spans="1:31" x14ac:dyDescent="0.35">
      <c r="A28" s="33">
        <v>25</v>
      </c>
      <c r="B28" s="8">
        <v>6500729436</v>
      </c>
      <c r="C28" s="2" t="s">
        <v>37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44">
        <v>180</v>
      </c>
      <c r="U28" s="44">
        <v>1262.53</v>
      </c>
      <c r="V28" s="18">
        <v>39.200000000000003</v>
      </c>
      <c r="W28" s="18">
        <v>536.29</v>
      </c>
      <c r="X28" s="35">
        <v>0</v>
      </c>
      <c r="Y28" s="35">
        <v>0</v>
      </c>
      <c r="Z28" s="18">
        <v>180.8</v>
      </c>
      <c r="AA28" s="18">
        <v>1129.8599999999999</v>
      </c>
      <c r="AB28" s="2">
        <f t="shared" si="0"/>
        <v>400</v>
      </c>
      <c r="AC28" s="2">
        <f t="shared" si="1"/>
        <v>2928.68</v>
      </c>
    </row>
    <row r="29" spans="1:31" ht="18.600000000000001" thickBot="1" x14ac:dyDescent="0.4">
      <c r="A29" s="9"/>
      <c r="B29" s="10" t="s">
        <v>24</v>
      </c>
      <c r="C29" s="11"/>
      <c r="D29" s="14">
        <f>SUM(D4:D28)</f>
        <v>2368889</v>
      </c>
      <c r="E29" s="14">
        <f t="shared" ref="E29:AA29" si="2">SUM(E4:E28)</f>
        <v>11806142.26</v>
      </c>
      <c r="F29" s="14">
        <f t="shared" si="2"/>
        <v>2486320</v>
      </c>
      <c r="G29" s="14">
        <f t="shared" si="2"/>
        <v>12742793.959999999</v>
      </c>
      <c r="H29" s="14">
        <f t="shared" si="2"/>
        <v>2105039.86</v>
      </c>
      <c r="I29" s="14">
        <f t="shared" si="2"/>
        <v>10606222.190000001</v>
      </c>
      <c r="J29" s="14">
        <f t="shared" si="2"/>
        <v>2064323.89</v>
      </c>
      <c r="K29" s="14">
        <f t="shared" si="2"/>
        <v>11938744.139999999</v>
      </c>
      <c r="L29" s="14">
        <f t="shared" si="2"/>
        <v>2183812.04</v>
      </c>
      <c r="M29" s="14">
        <f t="shared" si="2"/>
        <v>12774566.959999999</v>
      </c>
      <c r="N29" s="14">
        <f t="shared" si="2"/>
        <v>2635768.0499999998</v>
      </c>
      <c r="O29" s="14">
        <f t="shared" si="2"/>
        <v>15378010.620000001</v>
      </c>
      <c r="P29" s="14">
        <f t="shared" si="2"/>
        <v>2461674.64</v>
      </c>
      <c r="Q29" s="14">
        <f t="shared" si="2"/>
        <v>14213667.340000004</v>
      </c>
      <c r="R29" s="14">
        <f t="shared" si="2"/>
        <v>2900322</v>
      </c>
      <c r="S29" s="14">
        <f t="shared" si="2"/>
        <v>14862214.870000003</v>
      </c>
      <c r="T29" s="14">
        <f t="shared" si="2"/>
        <v>2585365</v>
      </c>
      <c r="U29" s="14">
        <f t="shared" si="2"/>
        <v>13618263.840000002</v>
      </c>
      <c r="V29" s="14">
        <f t="shared" si="2"/>
        <v>2458202.2000000002</v>
      </c>
      <c r="W29" s="14">
        <f t="shared" si="2"/>
        <v>12578422.829999998</v>
      </c>
      <c r="X29" s="14">
        <f t="shared" si="2"/>
        <v>2723159.2</v>
      </c>
      <c r="Y29" s="14">
        <f t="shared" si="2"/>
        <v>14090685.859999998</v>
      </c>
      <c r="Z29" s="14">
        <f t="shared" si="2"/>
        <v>2669728.7999999998</v>
      </c>
      <c r="AA29" s="14">
        <f t="shared" si="2"/>
        <v>12974251.26</v>
      </c>
      <c r="AB29" s="14">
        <f>SUM(AB4:AB28)</f>
        <v>29642604.68</v>
      </c>
      <c r="AC29" s="14">
        <f>SUM(AC4:AC28)</f>
        <v>157583986.13</v>
      </c>
    </row>
    <row r="30" spans="1:31" ht="18.600000000000001" thickTop="1" x14ac:dyDescent="0.35">
      <c r="AB30" s="15"/>
      <c r="AC30" s="15"/>
    </row>
    <row r="31" spans="1:31" x14ac:dyDescent="0.35">
      <c r="AA31" s="3" t="s">
        <v>24</v>
      </c>
      <c r="AB31" s="103">
        <f>+AB32+AB33+AB34+AB35</f>
        <v>29642604.68</v>
      </c>
      <c r="AC31" s="103">
        <f>+AC32+AC33+AC34+AC35</f>
        <v>157583986.13</v>
      </c>
    </row>
    <row r="32" spans="1:31" x14ac:dyDescent="0.35">
      <c r="C32" s="3"/>
      <c r="AA32" s="3" t="s">
        <v>91</v>
      </c>
      <c r="AB32" s="3">
        <v>16906797</v>
      </c>
      <c r="AC32" s="3">
        <v>93644168.140000001</v>
      </c>
    </row>
    <row r="33" spans="1:29" ht="19.2" customHeight="1" x14ac:dyDescent="0.5">
      <c r="C33" s="3"/>
      <c r="U33" s="32"/>
      <c r="AA33" s="3" t="s">
        <v>21</v>
      </c>
      <c r="AB33" s="3">
        <v>10304000</v>
      </c>
      <c r="AC33" s="3">
        <v>50566678.710000001</v>
      </c>
    </row>
    <row r="34" spans="1:29" x14ac:dyDescent="0.35">
      <c r="C34" s="3"/>
      <c r="AA34" s="3" t="s">
        <v>37</v>
      </c>
      <c r="AB34" s="3">
        <v>863807.68</v>
      </c>
      <c r="AC34" s="3">
        <v>4712264.33</v>
      </c>
    </row>
    <row r="35" spans="1:29" x14ac:dyDescent="0.35">
      <c r="C35" s="3"/>
      <c r="AA35" s="3" t="s">
        <v>22</v>
      </c>
      <c r="AB35" s="3">
        <v>1568000</v>
      </c>
      <c r="AC35" s="3">
        <v>8660874.9499999993</v>
      </c>
    </row>
    <row r="36" spans="1:29" x14ac:dyDescent="0.35">
      <c r="A36" s="199" t="s">
        <v>64</v>
      </c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5"/>
    </row>
    <row r="37" spans="1:29" x14ac:dyDescent="0.35">
      <c r="A37" s="200" t="s">
        <v>0</v>
      </c>
      <c r="B37" s="200" t="s">
        <v>1</v>
      </c>
      <c r="C37" s="202" t="s">
        <v>2</v>
      </c>
      <c r="D37" s="197" t="s">
        <v>65</v>
      </c>
      <c r="E37" s="198"/>
      <c r="F37" s="197" t="s">
        <v>66</v>
      </c>
      <c r="G37" s="198"/>
      <c r="H37" s="197" t="s">
        <v>67</v>
      </c>
      <c r="I37" s="198"/>
      <c r="J37" s="197" t="s">
        <v>68</v>
      </c>
      <c r="K37" s="198"/>
      <c r="L37" s="197" t="s">
        <v>69</v>
      </c>
      <c r="M37" s="198"/>
      <c r="N37" s="197" t="s">
        <v>70</v>
      </c>
      <c r="O37" s="198"/>
      <c r="P37" s="197" t="s">
        <v>71</v>
      </c>
      <c r="Q37" s="198"/>
      <c r="R37" s="197" t="s">
        <v>72</v>
      </c>
      <c r="S37" s="198"/>
      <c r="T37" s="197" t="s">
        <v>73</v>
      </c>
      <c r="U37" s="198"/>
      <c r="V37" s="197" t="s">
        <v>74</v>
      </c>
      <c r="W37" s="198"/>
      <c r="X37" s="197" t="s">
        <v>75</v>
      </c>
      <c r="Y37" s="198"/>
      <c r="Z37" s="197" t="s">
        <v>76</v>
      </c>
      <c r="AA37" s="198"/>
      <c r="AB37" s="195" t="s">
        <v>24</v>
      </c>
      <c r="AC37" s="196"/>
    </row>
    <row r="38" spans="1:29" x14ac:dyDescent="0.35">
      <c r="A38" s="201"/>
      <c r="B38" s="201"/>
      <c r="C38" s="203"/>
      <c r="D38" s="6" t="s">
        <v>3</v>
      </c>
      <c r="E38" s="6" t="s">
        <v>39</v>
      </c>
      <c r="F38" s="6" t="s">
        <v>3</v>
      </c>
      <c r="G38" s="6" t="s">
        <v>39</v>
      </c>
      <c r="H38" s="6" t="s">
        <v>3</v>
      </c>
      <c r="I38" s="6" t="s">
        <v>39</v>
      </c>
      <c r="J38" s="6" t="s">
        <v>3</v>
      </c>
      <c r="K38" s="6" t="s">
        <v>39</v>
      </c>
      <c r="L38" s="6" t="s">
        <v>3</v>
      </c>
      <c r="M38" s="6" t="s">
        <v>39</v>
      </c>
      <c r="N38" s="6" t="s">
        <v>3</v>
      </c>
      <c r="O38" s="6" t="s">
        <v>39</v>
      </c>
      <c r="P38" s="6" t="s">
        <v>3</v>
      </c>
      <c r="Q38" s="6" t="s">
        <v>39</v>
      </c>
      <c r="R38" s="6" t="s">
        <v>3</v>
      </c>
      <c r="S38" s="6" t="s">
        <v>39</v>
      </c>
      <c r="T38" s="6" t="s">
        <v>3</v>
      </c>
      <c r="U38" s="6" t="s">
        <v>39</v>
      </c>
      <c r="V38" s="6" t="s">
        <v>3</v>
      </c>
      <c r="W38" s="6" t="s">
        <v>39</v>
      </c>
      <c r="X38" s="6" t="s">
        <v>3</v>
      </c>
      <c r="Y38" s="6" t="s">
        <v>39</v>
      </c>
      <c r="Z38" s="6" t="s">
        <v>3</v>
      </c>
      <c r="AA38" s="6" t="s">
        <v>39</v>
      </c>
      <c r="AB38" s="6" t="s">
        <v>3</v>
      </c>
      <c r="AC38" s="6" t="s">
        <v>39</v>
      </c>
    </row>
    <row r="39" spans="1:29" x14ac:dyDescent="0.35">
      <c r="A39" s="36">
        <v>1</v>
      </c>
      <c r="B39" s="37" t="s">
        <v>42</v>
      </c>
      <c r="C39" s="38" t="s">
        <v>43</v>
      </c>
      <c r="D39" s="45">
        <v>637</v>
      </c>
      <c r="E39" s="45">
        <v>7308.26</v>
      </c>
      <c r="F39" s="46">
        <v>879</v>
      </c>
      <c r="G39" s="46">
        <v>8103.02</v>
      </c>
      <c r="H39" s="39">
        <v>801</v>
      </c>
      <c r="I39" s="39">
        <v>8062.31</v>
      </c>
      <c r="J39" s="46">
        <v>977</v>
      </c>
      <c r="K39" s="46">
        <v>7902.05</v>
      </c>
      <c r="L39" s="39">
        <v>1093</v>
      </c>
      <c r="M39" s="39">
        <v>4209.1400000000003</v>
      </c>
      <c r="N39" s="46">
        <v>1019</v>
      </c>
      <c r="O39" s="46">
        <v>3946.8</v>
      </c>
      <c r="P39" s="46">
        <v>736</v>
      </c>
      <c r="Q39" s="46">
        <v>2943.46</v>
      </c>
      <c r="R39" s="46">
        <v>807</v>
      </c>
      <c r="S39" s="46">
        <v>3195.18</v>
      </c>
      <c r="T39" s="46">
        <v>600</v>
      </c>
      <c r="U39" s="46">
        <v>2461.3000000000002</v>
      </c>
      <c r="V39" s="107">
        <v>725</v>
      </c>
      <c r="W39" s="120">
        <v>2904.46</v>
      </c>
      <c r="X39" s="46">
        <v>931</v>
      </c>
      <c r="Y39" s="46">
        <v>3634.8</v>
      </c>
      <c r="Z39" s="46">
        <v>835</v>
      </c>
      <c r="AA39" s="46">
        <v>3294.46</v>
      </c>
      <c r="AB39" s="2">
        <f>+D39+F39+H39+J39+L39+N39+P39+R39+T39+V39+X39+Z39</f>
        <v>10040</v>
      </c>
      <c r="AC39" s="2">
        <f>+E39+G39+I39+K39+M39+O39+Q39+S39+U39+W39+Y39+AA39</f>
        <v>57965.240000000005</v>
      </c>
    </row>
    <row r="40" spans="1:29" x14ac:dyDescent="0.35">
      <c r="A40" s="36">
        <v>2</v>
      </c>
      <c r="B40" s="37" t="s">
        <v>44</v>
      </c>
      <c r="C40" s="38" t="s">
        <v>45</v>
      </c>
      <c r="D40" s="45">
        <v>0</v>
      </c>
      <c r="E40" s="45">
        <v>334.1</v>
      </c>
      <c r="F40" s="46">
        <v>0</v>
      </c>
      <c r="G40" s="46">
        <v>334.1</v>
      </c>
      <c r="H40" s="39">
        <v>0</v>
      </c>
      <c r="I40" s="39">
        <v>334.1</v>
      </c>
      <c r="J40" s="46">
        <v>0</v>
      </c>
      <c r="K40" s="46">
        <v>334.1</v>
      </c>
      <c r="L40" s="39">
        <v>23</v>
      </c>
      <c r="M40" s="39">
        <v>1546.76</v>
      </c>
      <c r="N40" s="46">
        <v>313</v>
      </c>
      <c r="O40" s="46">
        <v>40786.660000000003</v>
      </c>
      <c r="P40" s="46">
        <v>112</v>
      </c>
      <c r="Q40" s="46">
        <v>24242.2</v>
      </c>
      <c r="R40" s="46">
        <v>19</v>
      </c>
      <c r="S40" s="46">
        <v>403.03</v>
      </c>
      <c r="T40" s="46">
        <v>213</v>
      </c>
      <c r="U40" s="46">
        <v>27635.79</v>
      </c>
      <c r="V40" s="107">
        <v>85</v>
      </c>
      <c r="W40" s="120">
        <v>27581.39</v>
      </c>
      <c r="X40" s="46">
        <v>1997</v>
      </c>
      <c r="Y40" s="46">
        <v>47138.78</v>
      </c>
      <c r="Z40" s="46">
        <v>1182</v>
      </c>
      <c r="AA40" s="46">
        <v>33888.910000000003</v>
      </c>
      <c r="AB40" s="2">
        <f t="shared" ref="AB40:AB63" si="3">+D40+F40+H40+J40+L40+N40+P40+R40+T40+V40+X40+Z40</f>
        <v>3944</v>
      </c>
      <c r="AC40" s="2">
        <f t="shared" ref="AC40:AC64" si="4">+E40+G40+I40+K40+M40+O40+Q40+S40+U40+W40+Y40+AA40</f>
        <v>204559.92</v>
      </c>
    </row>
    <row r="41" spans="1:29" x14ac:dyDescent="0.35">
      <c r="A41" s="36">
        <v>3</v>
      </c>
      <c r="B41" s="114" t="s">
        <v>94</v>
      </c>
      <c r="C41" s="115" t="s">
        <v>95</v>
      </c>
      <c r="D41" s="116">
        <v>0</v>
      </c>
      <c r="E41" s="116">
        <v>0</v>
      </c>
      <c r="F41" s="116">
        <v>0</v>
      </c>
      <c r="G41" s="116">
        <v>0</v>
      </c>
      <c r="H41" s="116">
        <v>0</v>
      </c>
      <c r="I41" s="116">
        <v>0</v>
      </c>
      <c r="J41" s="46">
        <v>138</v>
      </c>
      <c r="K41" s="46">
        <v>2080.48</v>
      </c>
      <c r="L41" s="46">
        <v>629</v>
      </c>
      <c r="M41" s="46">
        <v>8854.1</v>
      </c>
      <c r="N41" s="46">
        <v>823</v>
      </c>
      <c r="O41" s="46">
        <v>11834.17</v>
      </c>
      <c r="P41" s="46">
        <v>424</v>
      </c>
      <c r="Q41" s="46">
        <v>9906.57</v>
      </c>
      <c r="R41" s="46">
        <v>580</v>
      </c>
      <c r="S41" s="46">
        <v>10496.25</v>
      </c>
      <c r="T41" s="46">
        <v>409</v>
      </c>
      <c r="U41" s="46">
        <v>7069.09</v>
      </c>
      <c r="V41" s="107">
        <v>423</v>
      </c>
      <c r="W41" s="120">
        <v>7842.9</v>
      </c>
      <c r="X41" s="46">
        <v>506</v>
      </c>
      <c r="Y41" s="46">
        <v>7267.89</v>
      </c>
      <c r="Z41" s="46">
        <v>311</v>
      </c>
      <c r="AA41" s="46">
        <v>6758.19</v>
      </c>
      <c r="AB41" s="2">
        <f t="shared" si="3"/>
        <v>4243</v>
      </c>
      <c r="AC41" s="2">
        <f t="shared" si="4"/>
        <v>72109.64</v>
      </c>
    </row>
    <row r="42" spans="1:29" x14ac:dyDescent="0.35">
      <c r="A42" s="36">
        <v>4</v>
      </c>
      <c r="B42" s="8" t="s">
        <v>4</v>
      </c>
      <c r="C42" s="2" t="s">
        <v>25</v>
      </c>
      <c r="D42" s="47">
        <v>82000</v>
      </c>
      <c r="E42" s="48">
        <v>346794.74</v>
      </c>
      <c r="F42" s="47">
        <v>82000</v>
      </c>
      <c r="G42" s="48">
        <v>378356.4</v>
      </c>
      <c r="H42" s="2">
        <v>72000</v>
      </c>
      <c r="I42" s="18">
        <v>320651.46999999997</v>
      </c>
      <c r="J42" s="47">
        <v>82000</v>
      </c>
      <c r="K42" s="48">
        <v>390734.07</v>
      </c>
      <c r="L42" s="2">
        <v>90000</v>
      </c>
      <c r="M42" s="18">
        <v>442701.43</v>
      </c>
      <c r="N42" s="47">
        <v>103000</v>
      </c>
      <c r="O42" s="48">
        <v>491080.97</v>
      </c>
      <c r="P42" s="47">
        <v>101000</v>
      </c>
      <c r="Q42" s="48">
        <v>494899.97</v>
      </c>
      <c r="R42" s="47">
        <v>103000</v>
      </c>
      <c r="S42" s="48">
        <v>490117.34</v>
      </c>
      <c r="T42" s="47">
        <v>84000</v>
      </c>
      <c r="U42" s="48">
        <v>394185.07</v>
      </c>
      <c r="V42" s="47">
        <v>77000</v>
      </c>
      <c r="W42" s="48">
        <v>378012.86</v>
      </c>
      <c r="X42" s="47">
        <v>99000</v>
      </c>
      <c r="Y42" s="48">
        <v>480118.19</v>
      </c>
      <c r="Z42" s="47">
        <v>90000</v>
      </c>
      <c r="AA42" s="48">
        <v>438055.69</v>
      </c>
      <c r="AB42" s="2">
        <f t="shared" si="3"/>
        <v>1065000</v>
      </c>
      <c r="AC42" s="2">
        <f t="shared" si="4"/>
        <v>5045708.2</v>
      </c>
    </row>
    <row r="43" spans="1:29" x14ac:dyDescent="0.35">
      <c r="A43" s="36">
        <v>5</v>
      </c>
      <c r="B43" s="8" t="s">
        <v>5</v>
      </c>
      <c r="C43" s="2" t="s">
        <v>48</v>
      </c>
      <c r="D43" s="47">
        <v>184000</v>
      </c>
      <c r="E43" s="48">
        <v>737448.56</v>
      </c>
      <c r="F43" s="47">
        <v>182000</v>
      </c>
      <c r="G43" s="49">
        <v>837587.46</v>
      </c>
      <c r="H43" s="2">
        <v>151000</v>
      </c>
      <c r="I43" s="18">
        <v>676542.67</v>
      </c>
      <c r="J43" s="47">
        <v>167000</v>
      </c>
      <c r="K43" s="48">
        <v>796218.06</v>
      </c>
      <c r="L43" s="2">
        <v>186000</v>
      </c>
      <c r="M43" s="18">
        <v>905740.88</v>
      </c>
      <c r="N43" s="47">
        <v>220000</v>
      </c>
      <c r="O43" s="48">
        <v>1048920.1499999999</v>
      </c>
      <c r="P43" s="47">
        <v>223000</v>
      </c>
      <c r="Q43" s="48">
        <v>1085846.18</v>
      </c>
      <c r="R43" s="47">
        <v>237000</v>
      </c>
      <c r="S43" s="48">
        <v>1115848.97</v>
      </c>
      <c r="T43" s="47">
        <v>187000</v>
      </c>
      <c r="U43" s="48">
        <v>869935.06</v>
      </c>
      <c r="V43" s="47">
        <v>190000</v>
      </c>
      <c r="W43" s="48">
        <v>903271.36</v>
      </c>
      <c r="X43" s="47">
        <v>219000</v>
      </c>
      <c r="Y43" s="106">
        <v>1057278.26</v>
      </c>
      <c r="Z43" s="47">
        <v>196000</v>
      </c>
      <c r="AA43" s="48">
        <v>936902.88</v>
      </c>
      <c r="AB43" s="2">
        <f t="shared" si="3"/>
        <v>2342000</v>
      </c>
      <c r="AC43" s="2">
        <f t="shared" si="4"/>
        <v>10971540.489999998</v>
      </c>
    </row>
    <row r="44" spans="1:29" x14ac:dyDescent="0.35">
      <c r="A44" s="36">
        <v>6</v>
      </c>
      <c r="B44" s="8" t="s">
        <v>6</v>
      </c>
      <c r="C44" s="2" t="s">
        <v>49</v>
      </c>
      <c r="D44" s="47">
        <v>158000</v>
      </c>
      <c r="E44" s="48">
        <v>639142.02</v>
      </c>
      <c r="F44" s="47">
        <v>158000</v>
      </c>
      <c r="G44" s="48">
        <v>735994.16</v>
      </c>
      <c r="H44" s="2">
        <v>124000</v>
      </c>
      <c r="I44" s="18">
        <v>594110.81000000006</v>
      </c>
      <c r="J44" s="47">
        <v>146000</v>
      </c>
      <c r="K44" s="48">
        <v>724823.09</v>
      </c>
      <c r="L44" s="2">
        <v>169000</v>
      </c>
      <c r="M44" s="18">
        <v>847680.49</v>
      </c>
      <c r="N44" s="47">
        <v>209000</v>
      </c>
      <c r="O44" s="48">
        <v>989233</v>
      </c>
      <c r="P44" s="47">
        <v>184000</v>
      </c>
      <c r="Q44" s="48">
        <v>910461.31</v>
      </c>
      <c r="R44" s="47">
        <v>190000</v>
      </c>
      <c r="S44" s="48">
        <v>891325.43999999994</v>
      </c>
      <c r="T44" s="47">
        <v>140000</v>
      </c>
      <c r="U44" s="48">
        <v>655430.18999999994</v>
      </c>
      <c r="V44" s="106">
        <v>152000</v>
      </c>
      <c r="W44" s="48">
        <v>744515.58</v>
      </c>
      <c r="X44" s="47">
        <v>190000</v>
      </c>
      <c r="Y44" s="48">
        <v>923010.02</v>
      </c>
      <c r="Z44" s="47">
        <v>176000</v>
      </c>
      <c r="AA44" s="48">
        <v>857007.58</v>
      </c>
      <c r="AB44" s="2">
        <f t="shared" si="3"/>
        <v>1996000</v>
      </c>
      <c r="AC44" s="2">
        <f t="shared" si="4"/>
        <v>9512733.6899999995</v>
      </c>
    </row>
    <row r="45" spans="1:29" x14ac:dyDescent="0.35">
      <c r="A45" s="36">
        <v>7</v>
      </c>
      <c r="B45" s="8" t="s">
        <v>7</v>
      </c>
      <c r="C45" s="2" t="s">
        <v>21</v>
      </c>
      <c r="D45" s="47">
        <v>805000</v>
      </c>
      <c r="E45" s="49">
        <v>2738257.41</v>
      </c>
      <c r="F45" s="47">
        <v>832000</v>
      </c>
      <c r="G45" s="49">
        <v>3316592.12</v>
      </c>
      <c r="H45" s="2">
        <v>699000</v>
      </c>
      <c r="I45" s="2">
        <v>2748527.38</v>
      </c>
      <c r="J45" s="47">
        <v>718000</v>
      </c>
      <c r="K45" s="47">
        <v>3005521.33</v>
      </c>
      <c r="L45" s="2">
        <v>725000</v>
      </c>
      <c r="M45" s="2">
        <v>3077637.51</v>
      </c>
      <c r="N45" s="47">
        <v>806000</v>
      </c>
      <c r="O45" s="49">
        <v>3355104.5</v>
      </c>
      <c r="P45" s="47">
        <v>768000</v>
      </c>
      <c r="Q45" s="47">
        <v>3227386.13</v>
      </c>
      <c r="R45" s="47">
        <v>817000</v>
      </c>
      <c r="S45" s="47">
        <v>3402943.53</v>
      </c>
      <c r="T45" s="107">
        <v>767000</v>
      </c>
      <c r="U45" s="120">
        <v>3164728.71</v>
      </c>
      <c r="V45" s="121">
        <v>770000</v>
      </c>
      <c r="W45" s="107">
        <v>3232590.82</v>
      </c>
      <c r="X45" s="47">
        <v>827000</v>
      </c>
      <c r="Y45" s="48">
        <v>3441178.96</v>
      </c>
      <c r="Z45" s="47">
        <v>758000</v>
      </c>
      <c r="AA45" s="167">
        <v>3180246.34</v>
      </c>
      <c r="AB45" s="2">
        <f t="shared" si="3"/>
        <v>9292000</v>
      </c>
      <c r="AC45" s="2">
        <f>+E45+G45+I45+K45+M45+O45+Q45+S45+U45+W45+Y45+AA45</f>
        <v>37890714.739999995</v>
      </c>
    </row>
    <row r="46" spans="1:29" x14ac:dyDescent="0.35">
      <c r="A46" s="36">
        <v>8</v>
      </c>
      <c r="B46" s="8" t="s">
        <v>46</v>
      </c>
      <c r="C46" s="2" t="s">
        <v>93</v>
      </c>
      <c r="D46" s="47">
        <v>16000</v>
      </c>
      <c r="E46" s="49">
        <v>119964.98</v>
      </c>
      <c r="F46" s="50">
        <v>0</v>
      </c>
      <c r="G46" s="51">
        <v>0</v>
      </c>
      <c r="H46" s="2">
        <v>0</v>
      </c>
      <c r="I46" s="2">
        <v>0</v>
      </c>
      <c r="J46" s="47">
        <v>0</v>
      </c>
      <c r="K46" s="47">
        <v>0</v>
      </c>
      <c r="L46" s="2"/>
      <c r="M46" s="2"/>
      <c r="N46" s="47"/>
      <c r="O46" s="47"/>
      <c r="P46" s="47"/>
      <c r="Q46" s="47"/>
      <c r="R46" s="47"/>
      <c r="S46" s="47"/>
      <c r="T46" s="2"/>
      <c r="U46" s="19"/>
      <c r="V46" s="2"/>
      <c r="W46" s="18"/>
      <c r="X46" s="42"/>
      <c r="Y46" s="42"/>
      <c r="Z46" s="168"/>
      <c r="AA46" s="168"/>
      <c r="AB46" s="2">
        <f t="shared" si="3"/>
        <v>16000</v>
      </c>
      <c r="AC46" s="2">
        <f>+E46+G46+I46+K46+M46+O46+Q46+S46+U46+W46+Y46+AA46</f>
        <v>119964.98</v>
      </c>
    </row>
    <row r="47" spans="1:29" x14ac:dyDescent="0.35">
      <c r="A47" s="36">
        <v>9</v>
      </c>
      <c r="B47" s="8" t="s">
        <v>8</v>
      </c>
      <c r="C47" s="2" t="s">
        <v>26</v>
      </c>
      <c r="D47" s="47">
        <v>74000</v>
      </c>
      <c r="E47" s="47">
        <v>279734.59000000003</v>
      </c>
      <c r="F47" s="47">
        <v>71000</v>
      </c>
      <c r="G47" s="47">
        <v>310360.37</v>
      </c>
      <c r="H47" s="2">
        <v>63000</v>
      </c>
      <c r="I47" s="2">
        <v>277613.08</v>
      </c>
      <c r="J47" s="47">
        <v>68000</v>
      </c>
      <c r="K47" s="47">
        <v>311393.53999999998</v>
      </c>
      <c r="L47" s="2">
        <v>74000</v>
      </c>
      <c r="M47" s="13">
        <v>335463.3</v>
      </c>
      <c r="N47" s="47">
        <v>85000</v>
      </c>
      <c r="O47" s="47">
        <v>381956.43</v>
      </c>
      <c r="P47" s="47">
        <v>82000</v>
      </c>
      <c r="Q47" s="47">
        <v>379403.29</v>
      </c>
      <c r="R47" s="47">
        <v>96000</v>
      </c>
      <c r="S47" s="47">
        <v>433680.26</v>
      </c>
      <c r="T47" s="47">
        <v>89000</v>
      </c>
      <c r="U47" s="47">
        <v>402306.73</v>
      </c>
      <c r="V47" s="47">
        <v>81000</v>
      </c>
      <c r="W47" s="47">
        <v>378025.37</v>
      </c>
      <c r="X47" s="47">
        <v>91000</v>
      </c>
      <c r="Y47" s="47">
        <v>414796.75</v>
      </c>
      <c r="Z47" s="47">
        <v>80000</v>
      </c>
      <c r="AA47" s="47">
        <v>363657.87</v>
      </c>
      <c r="AB47" s="2">
        <f t="shared" si="3"/>
        <v>954000</v>
      </c>
      <c r="AC47" s="2">
        <f t="shared" si="4"/>
        <v>4268391.58</v>
      </c>
    </row>
    <row r="48" spans="1:29" x14ac:dyDescent="0.35">
      <c r="A48" s="36">
        <v>10</v>
      </c>
      <c r="B48" s="8" t="s">
        <v>9</v>
      </c>
      <c r="C48" s="2" t="s">
        <v>27</v>
      </c>
      <c r="D48" s="47">
        <v>36000</v>
      </c>
      <c r="E48" s="47">
        <v>143730.76</v>
      </c>
      <c r="F48" s="47">
        <v>36000</v>
      </c>
      <c r="G48" s="47">
        <v>166197.28</v>
      </c>
      <c r="H48" s="2">
        <v>35000</v>
      </c>
      <c r="I48" s="2">
        <v>157709.04</v>
      </c>
      <c r="J48" s="47">
        <v>40000</v>
      </c>
      <c r="K48" s="47">
        <v>190687.42</v>
      </c>
      <c r="L48" s="2">
        <v>42000</v>
      </c>
      <c r="M48" s="2">
        <v>201218.15</v>
      </c>
      <c r="N48" s="47">
        <v>51000</v>
      </c>
      <c r="O48" s="47">
        <v>238871.37</v>
      </c>
      <c r="P48" s="47">
        <v>45000</v>
      </c>
      <c r="Q48" s="47">
        <v>217930.78</v>
      </c>
      <c r="R48" s="47">
        <v>47000</v>
      </c>
      <c r="S48" s="47">
        <v>224210.48</v>
      </c>
      <c r="T48" s="47">
        <v>41000</v>
      </c>
      <c r="U48" s="47">
        <v>193345.45</v>
      </c>
      <c r="V48" s="47">
        <v>37000</v>
      </c>
      <c r="W48" s="47">
        <v>175823.84</v>
      </c>
      <c r="X48" s="47">
        <v>43000</v>
      </c>
      <c r="Y48" s="47">
        <v>203006.77</v>
      </c>
      <c r="Z48" s="47">
        <v>41000</v>
      </c>
      <c r="AA48" s="47">
        <v>192476.03</v>
      </c>
      <c r="AB48" s="2">
        <f t="shared" si="3"/>
        <v>494000</v>
      </c>
      <c r="AC48" s="2">
        <f t="shared" si="4"/>
        <v>2305207.3699999996</v>
      </c>
    </row>
    <row r="49" spans="1:29" x14ac:dyDescent="0.35">
      <c r="A49" s="36">
        <v>11</v>
      </c>
      <c r="B49" s="8" t="s">
        <v>10</v>
      </c>
      <c r="C49" s="2" t="s">
        <v>28</v>
      </c>
      <c r="D49" s="47">
        <v>100000</v>
      </c>
      <c r="E49" s="47">
        <v>444201.77</v>
      </c>
      <c r="F49" s="47">
        <v>98000</v>
      </c>
      <c r="G49" s="47">
        <v>491387.68</v>
      </c>
      <c r="H49" s="2">
        <v>84000</v>
      </c>
      <c r="I49" s="2">
        <v>424775.53</v>
      </c>
      <c r="J49" s="47">
        <v>99000</v>
      </c>
      <c r="K49" s="47">
        <v>507946.42</v>
      </c>
      <c r="L49" s="2">
        <v>97000</v>
      </c>
      <c r="M49" s="2">
        <v>511496.96000000002</v>
      </c>
      <c r="N49" s="47">
        <v>109000</v>
      </c>
      <c r="O49" s="47">
        <v>569797.36</v>
      </c>
      <c r="P49" s="47">
        <v>107000</v>
      </c>
      <c r="Q49" s="47">
        <v>571893.54</v>
      </c>
      <c r="R49" s="47">
        <v>112000</v>
      </c>
      <c r="S49" s="47">
        <v>582306.97</v>
      </c>
      <c r="T49" s="47">
        <v>97000</v>
      </c>
      <c r="U49" s="47">
        <v>509237.2</v>
      </c>
      <c r="V49" s="47">
        <v>103000</v>
      </c>
      <c r="W49" s="106">
        <v>536087.63</v>
      </c>
      <c r="X49" s="121">
        <v>109000</v>
      </c>
      <c r="Y49" s="47">
        <v>564977.38</v>
      </c>
      <c r="Z49" s="47">
        <v>101000</v>
      </c>
      <c r="AA49" s="47">
        <v>526979.25</v>
      </c>
      <c r="AB49" s="2">
        <f t="shared" si="3"/>
        <v>1216000</v>
      </c>
      <c r="AC49" s="2">
        <f t="shared" si="4"/>
        <v>6241087.6899999995</v>
      </c>
    </row>
    <row r="50" spans="1:29" x14ac:dyDescent="0.35">
      <c r="A50" s="36">
        <v>12</v>
      </c>
      <c r="B50" s="8" t="s">
        <v>11</v>
      </c>
      <c r="C50" s="2" t="s">
        <v>29</v>
      </c>
      <c r="D50" s="47">
        <v>85000</v>
      </c>
      <c r="E50" s="47">
        <v>352477.07</v>
      </c>
      <c r="F50" s="47">
        <v>86000</v>
      </c>
      <c r="G50" s="47">
        <v>410319.88</v>
      </c>
      <c r="H50" s="2">
        <v>66000</v>
      </c>
      <c r="I50" s="2">
        <v>308420.52</v>
      </c>
      <c r="J50" s="47">
        <v>81000</v>
      </c>
      <c r="K50" s="47">
        <v>396135.42</v>
      </c>
      <c r="L50" s="2">
        <v>91000</v>
      </c>
      <c r="M50" s="2">
        <v>454272.25</v>
      </c>
      <c r="N50" s="47">
        <v>106000</v>
      </c>
      <c r="O50" s="47">
        <v>522205.54</v>
      </c>
      <c r="P50" s="47">
        <v>98000</v>
      </c>
      <c r="Q50" s="47">
        <v>499426.57</v>
      </c>
      <c r="R50" s="47">
        <v>110000</v>
      </c>
      <c r="S50" s="47">
        <v>535113.42000000004</v>
      </c>
      <c r="T50" s="47">
        <v>79000</v>
      </c>
      <c r="U50" s="47">
        <v>390362.47</v>
      </c>
      <c r="V50" s="47">
        <v>74000</v>
      </c>
      <c r="W50" s="47">
        <v>364619.66</v>
      </c>
      <c r="X50" s="47">
        <v>99000</v>
      </c>
      <c r="Y50" s="47">
        <v>490120.84</v>
      </c>
      <c r="Z50" s="47">
        <v>82000</v>
      </c>
      <c r="AA50" s="47">
        <v>419858.42</v>
      </c>
      <c r="AB50" s="2">
        <f t="shared" si="3"/>
        <v>1057000</v>
      </c>
      <c r="AC50" s="2">
        <f t="shared" si="4"/>
        <v>5143332.0599999996</v>
      </c>
    </row>
    <row r="51" spans="1:29" x14ac:dyDescent="0.35">
      <c r="A51" s="36">
        <v>13</v>
      </c>
      <c r="B51" s="8" t="s">
        <v>12</v>
      </c>
      <c r="C51" s="2" t="s">
        <v>30</v>
      </c>
      <c r="D51" s="47">
        <v>68000</v>
      </c>
      <c r="E51" s="47">
        <v>296628.26</v>
      </c>
      <c r="F51" s="47">
        <v>71000</v>
      </c>
      <c r="G51" s="47">
        <v>354846.11</v>
      </c>
      <c r="H51" s="2">
        <v>57000</v>
      </c>
      <c r="I51" s="2">
        <v>282007.64</v>
      </c>
      <c r="J51" s="47">
        <v>59000</v>
      </c>
      <c r="K51" s="47">
        <v>302786.46999999997</v>
      </c>
      <c r="L51" s="2">
        <v>68000</v>
      </c>
      <c r="M51" s="2">
        <v>354172.46</v>
      </c>
      <c r="N51" s="47">
        <v>82000</v>
      </c>
      <c r="O51" s="47">
        <v>419179.26</v>
      </c>
      <c r="P51" s="47">
        <v>74000</v>
      </c>
      <c r="Q51" s="47">
        <v>395562.89</v>
      </c>
      <c r="R51" s="47">
        <v>83000</v>
      </c>
      <c r="S51" s="47">
        <v>420557.18</v>
      </c>
      <c r="T51" s="47">
        <v>60000</v>
      </c>
      <c r="U51" s="47">
        <v>303453.21000000002</v>
      </c>
      <c r="V51" s="47">
        <v>64000</v>
      </c>
      <c r="W51" s="49">
        <v>326758.43</v>
      </c>
      <c r="X51" s="47">
        <v>90000</v>
      </c>
      <c r="Y51" s="49">
        <v>451914.69</v>
      </c>
      <c r="Z51" s="47">
        <v>78000</v>
      </c>
      <c r="AA51" s="49">
        <v>389805.95</v>
      </c>
      <c r="AB51" s="2">
        <f t="shared" si="3"/>
        <v>854000</v>
      </c>
      <c r="AC51" s="2">
        <f t="shared" si="4"/>
        <v>4297672.55</v>
      </c>
    </row>
    <row r="52" spans="1:29" x14ac:dyDescent="0.35">
      <c r="A52" s="36">
        <v>14</v>
      </c>
      <c r="B52" s="8" t="s">
        <v>13</v>
      </c>
      <c r="C52" s="2" t="s">
        <v>31</v>
      </c>
      <c r="D52" s="47">
        <v>178000</v>
      </c>
      <c r="E52" s="47">
        <v>650380.37</v>
      </c>
      <c r="F52" s="47">
        <v>163000</v>
      </c>
      <c r="G52" s="47">
        <v>692500.64</v>
      </c>
      <c r="H52" s="2">
        <v>166000</v>
      </c>
      <c r="I52" s="2">
        <v>685777.68</v>
      </c>
      <c r="J52" s="47">
        <v>167000</v>
      </c>
      <c r="K52" s="47">
        <v>737795.11</v>
      </c>
      <c r="L52" s="2">
        <v>166000</v>
      </c>
      <c r="M52" s="2">
        <v>745345.99</v>
      </c>
      <c r="N52" s="47">
        <v>193000</v>
      </c>
      <c r="O52" s="47">
        <v>856330.35</v>
      </c>
      <c r="P52" s="47">
        <v>191000</v>
      </c>
      <c r="Q52" s="47">
        <v>868667.45</v>
      </c>
      <c r="R52" s="47">
        <v>199000</v>
      </c>
      <c r="S52" s="47">
        <v>876766.03</v>
      </c>
      <c r="T52" s="47">
        <v>173000</v>
      </c>
      <c r="U52" s="47">
        <v>758815.73</v>
      </c>
      <c r="V52" s="47">
        <v>170000</v>
      </c>
      <c r="W52" s="49">
        <v>755946.1</v>
      </c>
      <c r="X52" s="47">
        <v>199000</v>
      </c>
      <c r="Y52" s="49">
        <v>885077.86</v>
      </c>
      <c r="Z52" s="47">
        <v>184000</v>
      </c>
      <c r="AA52" s="49">
        <v>813462.46</v>
      </c>
      <c r="AB52" s="2">
        <f t="shared" si="3"/>
        <v>2149000</v>
      </c>
      <c r="AC52" s="2">
        <f t="shared" si="4"/>
        <v>9326865.7699999996</v>
      </c>
    </row>
    <row r="53" spans="1:29" x14ac:dyDescent="0.35">
      <c r="A53" s="36">
        <v>15</v>
      </c>
      <c r="B53" s="8" t="s">
        <v>14</v>
      </c>
      <c r="C53" s="2" t="s">
        <v>35</v>
      </c>
      <c r="D53" s="47">
        <v>2273</v>
      </c>
      <c r="E53" s="47">
        <v>9679.3799999999992</v>
      </c>
      <c r="F53" s="47">
        <v>2311</v>
      </c>
      <c r="G53" s="49">
        <v>11234.1</v>
      </c>
      <c r="H53" s="2">
        <v>2203</v>
      </c>
      <c r="I53" s="2">
        <v>10699.47</v>
      </c>
      <c r="J53" s="47">
        <v>1924</v>
      </c>
      <c r="K53" s="47">
        <v>9714.4</v>
      </c>
      <c r="L53" s="2">
        <v>1542</v>
      </c>
      <c r="M53" s="2">
        <v>7744.72</v>
      </c>
      <c r="N53" s="47">
        <v>1807</v>
      </c>
      <c r="O53" s="47">
        <v>9111.1200000000008</v>
      </c>
      <c r="P53" s="47">
        <v>1960</v>
      </c>
      <c r="Q53" s="47">
        <v>9900.0300000000007</v>
      </c>
      <c r="R53" s="47">
        <v>1462</v>
      </c>
      <c r="S53" s="47">
        <v>7332.24</v>
      </c>
      <c r="T53" s="47">
        <v>1147</v>
      </c>
      <c r="U53" s="47">
        <v>5708.02</v>
      </c>
      <c r="V53" s="47">
        <v>1047</v>
      </c>
      <c r="W53" s="47">
        <v>5192.3999999999996</v>
      </c>
      <c r="X53" s="47">
        <v>1404</v>
      </c>
      <c r="Y53" s="106">
        <v>7033.17</v>
      </c>
      <c r="Z53" s="47">
        <v>1201</v>
      </c>
      <c r="AA53" s="47">
        <v>5986.46</v>
      </c>
      <c r="AB53" s="2">
        <f t="shared" si="3"/>
        <v>20281</v>
      </c>
      <c r="AC53" s="2">
        <f t="shared" si="4"/>
        <v>99335.510000000009</v>
      </c>
    </row>
    <row r="54" spans="1:29" x14ac:dyDescent="0.35">
      <c r="A54" s="36">
        <v>16</v>
      </c>
      <c r="B54" s="8" t="s">
        <v>15</v>
      </c>
      <c r="C54" s="2" t="s">
        <v>32</v>
      </c>
      <c r="D54" s="47">
        <v>36000</v>
      </c>
      <c r="E54" s="47">
        <v>140048.65</v>
      </c>
      <c r="F54" s="47">
        <v>34000</v>
      </c>
      <c r="G54" s="47">
        <v>151969.47</v>
      </c>
      <c r="H54" s="2">
        <v>33000</v>
      </c>
      <c r="I54" s="2">
        <v>145314.28</v>
      </c>
      <c r="J54" s="47">
        <v>32000</v>
      </c>
      <c r="K54" s="47">
        <v>150730.01</v>
      </c>
      <c r="L54" s="2">
        <v>34000</v>
      </c>
      <c r="M54" s="2">
        <v>162524.85999999999</v>
      </c>
      <c r="N54" s="47">
        <v>39000</v>
      </c>
      <c r="O54" s="47">
        <v>183099.18</v>
      </c>
      <c r="P54" s="47">
        <v>41000</v>
      </c>
      <c r="Q54" s="47">
        <v>199872.26</v>
      </c>
      <c r="R54" s="47">
        <v>46000</v>
      </c>
      <c r="S54" s="47">
        <v>213066.36</v>
      </c>
      <c r="T54" s="47">
        <v>35000</v>
      </c>
      <c r="U54" s="47">
        <v>166479.01</v>
      </c>
      <c r="V54" s="47">
        <v>33000</v>
      </c>
      <c r="W54" s="47">
        <v>157464.84</v>
      </c>
      <c r="X54" s="47">
        <v>48000</v>
      </c>
      <c r="Y54" s="47">
        <v>221463.57</v>
      </c>
      <c r="Z54" s="47">
        <v>46000</v>
      </c>
      <c r="AA54" s="47">
        <v>210237.67</v>
      </c>
      <c r="AB54" s="2">
        <f t="shared" si="3"/>
        <v>457000</v>
      </c>
      <c r="AC54" s="2">
        <f t="shared" si="4"/>
        <v>2102270.16</v>
      </c>
    </row>
    <row r="55" spans="1:29" x14ac:dyDescent="0.35">
      <c r="A55" s="36">
        <v>17</v>
      </c>
      <c r="B55" s="8" t="s">
        <v>16</v>
      </c>
      <c r="C55" s="2" t="s">
        <v>33</v>
      </c>
      <c r="D55" s="47">
        <v>111000</v>
      </c>
      <c r="E55" s="47">
        <v>458279.64</v>
      </c>
      <c r="F55" s="47">
        <v>105000</v>
      </c>
      <c r="G55" s="47">
        <v>493269.63</v>
      </c>
      <c r="H55" s="2">
        <v>88000</v>
      </c>
      <c r="I55" s="2">
        <v>411906.6</v>
      </c>
      <c r="J55" s="47">
        <v>94000</v>
      </c>
      <c r="K55" s="47">
        <v>470147.47</v>
      </c>
      <c r="L55" s="2">
        <v>103000</v>
      </c>
      <c r="M55" s="2">
        <v>503549.64</v>
      </c>
      <c r="N55" s="47">
        <v>118000</v>
      </c>
      <c r="O55" s="47">
        <v>582687.49</v>
      </c>
      <c r="P55" s="47">
        <v>105000</v>
      </c>
      <c r="Q55" s="47">
        <v>537184.66</v>
      </c>
      <c r="R55" s="47">
        <v>120000</v>
      </c>
      <c r="S55" s="47">
        <v>591795.88</v>
      </c>
      <c r="T55" s="47">
        <v>83000</v>
      </c>
      <c r="U55" s="47">
        <v>421885.31</v>
      </c>
      <c r="V55" s="47">
        <v>61000</v>
      </c>
      <c r="W55" s="47">
        <v>283702.12</v>
      </c>
      <c r="X55" s="47">
        <v>98000</v>
      </c>
      <c r="Y55" s="47">
        <v>474647.47</v>
      </c>
      <c r="Z55" s="47">
        <v>97000</v>
      </c>
      <c r="AA55" s="47">
        <v>465795.13</v>
      </c>
      <c r="AB55" s="2">
        <f t="shared" si="3"/>
        <v>1183000</v>
      </c>
      <c r="AC55" s="2">
        <f t="shared" si="4"/>
        <v>5694851.0399999991</v>
      </c>
    </row>
    <row r="56" spans="1:29" x14ac:dyDescent="0.35">
      <c r="A56" s="36">
        <v>18</v>
      </c>
      <c r="B56" s="8" t="s">
        <v>17</v>
      </c>
      <c r="C56" s="2" t="s">
        <v>34</v>
      </c>
      <c r="D56" s="47">
        <v>162000</v>
      </c>
      <c r="E56" s="47">
        <v>702283.6</v>
      </c>
      <c r="F56" s="47">
        <v>156000</v>
      </c>
      <c r="G56" s="47">
        <v>745960.49</v>
      </c>
      <c r="H56" s="2">
        <v>128000</v>
      </c>
      <c r="I56" s="2">
        <v>612515.76</v>
      </c>
      <c r="J56" s="47">
        <v>148000</v>
      </c>
      <c r="K56" s="47">
        <v>725160.92</v>
      </c>
      <c r="L56" s="2">
        <v>165000</v>
      </c>
      <c r="M56" s="2">
        <v>831358.97</v>
      </c>
      <c r="N56" s="47">
        <v>194000</v>
      </c>
      <c r="O56" s="47">
        <v>957045.08</v>
      </c>
      <c r="P56" s="47">
        <v>201000</v>
      </c>
      <c r="Q56" s="47">
        <v>996748.27</v>
      </c>
      <c r="R56" s="47">
        <v>205000</v>
      </c>
      <c r="S56" s="47">
        <v>1003049.31</v>
      </c>
      <c r="T56" s="47">
        <v>152000</v>
      </c>
      <c r="U56" s="47">
        <v>738954.23</v>
      </c>
      <c r="V56" s="47">
        <v>158000</v>
      </c>
      <c r="W56" s="47">
        <v>776628.71</v>
      </c>
      <c r="X56" s="47">
        <v>196000</v>
      </c>
      <c r="Y56" s="47">
        <v>945340.94</v>
      </c>
      <c r="Z56" s="47">
        <v>171000</v>
      </c>
      <c r="AA56" s="47">
        <v>829543.77</v>
      </c>
      <c r="AB56" s="2">
        <f t="shared" si="3"/>
        <v>2036000</v>
      </c>
      <c r="AC56" s="2">
        <f t="shared" si="4"/>
        <v>9864590.0500000007</v>
      </c>
    </row>
    <row r="57" spans="1:29" x14ac:dyDescent="0.35">
      <c r="A57" s="36">
        <v>19</v>
      </c>
      <c r="B57" s="8" t="s">
        <v>18</v>
      </c>
      <c r="C57" s="2" t="s">
        <v>36</v>
      </c>
      <c r="D57" s="47">
        <v>150000</v>
      </c>
      <c r="E57" s="47">
        <v>628744.11</v>
      </c>
      <c r="F57" s="47">
        <v>148000</v>
      </c>
      <c r="G57" s="47">
        <v>704536.87</v>
      </c>
      <c r="H57" s="2">
        <v>108000</v>
      </c>
      <c r="I57" s="2">
        <v>519639.42</v>
      </c>
      <c r="J57" s="47">
        <v>129000</v>
      </c>
      <c r="K57" s="47">
        <v>641839.55000000005</v>
      </c>
      <c r="L57" s="2">
        <v>120000</v>
      </c>
      <c r="M57" s="2">
        <v>604360.59</v>
      </c>
      <c r="N57" s="47">
        <v>122000</v>
      </c>
      <c r="O57" s="107">
        <v>609091.69999999995</v>
      </c>
      <c r="P57" s="47">
        <v>121000</v>
      </c>
      <c r="Q57" s="47">
        <v>607571.55000000005</v>
      </c>
      <c r="R57" s="47">
        <v>125000</v>
      </c>
      <c r="S57" s="47">
        <v>623797.03</v>
      </c>
      <c r="T57" s="47">
        <v>119000</v>
      </c>
      <c r="U57" s="47">
        <v>597768</v>
      </c>
      <c r="V57" s="106">
        <v>114000</v>
      </c>
      <c r="W57" s="47">
        <v>571568.30000000005</v>
      </c>
      <c r="X57" s="106">
        <v>173000</v>
      </c>
      <c r="Y57" s="47">
        <v>852336.91</v>
      </c>
      <c r="Z57" s="47">
        <v>162000</v>
      </c>
      <c r="AA57" s="47">
        <v>791131.36</v>
      </c>
      <c r="AB57" s="2">
        <f t="shared" si="3"/>
        <v>1591000</v>
      </c>
      <c r="AC57" s="2">
        <f t="shared" si="4"/>
        <v>7752385.3900000006</v>
      </c>
    </row>
    <row r="58" spans="1:29" x14ac:dyDescent="0.35">
      <c r="A58" s="36">
        <v>20</v>
      </c>
      <c r="B58" s="29" t="s">
        <v>19</v>
      </c>
      <c r="C58" s="2" t="s">
        <v>22</v>
      </c>
      <c r="D58" s="47">
        <v>132000</v>
      </c>
      <c r="E58" s="47">
        <v>516904.84</v>
      </c>
      <c r="F58" s="47">
        <v>127000</v>
      </c>
      <c r="G58" s="47">
        <v>581568.56000000006</v>
      </c>
      <c r="H58" s="2">
        <v>119000</v>
      </c>
      <c r="I58" s="20">
        <v>552014.48</v>
      </c>
      <c r="J58" s="47">
        <v>133000</v>
      </c>
      <c r="K58" s="107">
        <v>632052.02</v>
      </c>
      <c r="L58" s="2">
        <v>133000</v>
      </c>
      <c r="M58" s="20">
        <v>646227.51</v>
      </c>
      <c r="N58" s="47">
        <v>156000</v>
      </c>
      <c r="O58" s="107">
        <v>743831.09</v>
      </c>
      <c r="P58" s="47">
        <v>153000</v>
      </c>
      <c r="Q58" s="107">
        <v>747772.73</v>
      </c>
      <c r="R58" s="47">
        <v>168000</v>
      </c>
      <c r="S58" s="107">
        <v>806699.02</v>
      </c>
      <c r="T58" s="47">
        <v>143000</v>
      </c>
      <c r="U58" s="49">
        <v>688025.13</v>
      </c>
      <c r="V58" s="47">
        <v>138000</v>
      </c>
      <c r="W58" s="107">
        <v>672443.21</v>
      </c>
      <c r="X58" s="47">
        <v>136000</v>
      </c>
      <c r="Y58" s="107">
        <v>653616.65</v>
      </c>
      <c r="Z58" s="47">
        <v>126000</v>
      </c>
      <c r="AA58" s="49">
        <v>603665.43000000005</v>
      </c>
      <c r="AB58" s="2">
        <f t="shared" si="3"/>
        <v>1664000</v>
      </c>
      <c r="AC58" s="2">
        <f t="shared" si="4"/>
        <v>7844820.6699999999</v>
      </c>
    </row>
    <row r="59" spans="1:29" x14ac:dyDescent="0.35">
      <c r="A59" s="36">
        <v>21</v>
      </c>
      <c r="B59" s="8" t="s">
        <v>20</v>
      </c>
      <c r="C59" s="2" t="s">
        <v>23</v>
      </c>
      <c r="D59" s="47">
        <v>94000</v>
      </c>
      <c r="E59" s="48">
        <v>361826.22</v>
      </c>
      <c r="F59" s="47">
        <v>86000</v>
      </c>
      <c r="G59" s="48">
        <v>340029.21</v>
      </c>
      <c r="H59" s="2">
        <v>74000</v>
      </c>
      <c r="I59" s="18">
        <v>286885.68</v>
      </c>
      <c r="J59" s="47">
        <v>71000</v>
      </c>
      <c r="K59" s="48">
        <v>294462.31</v>
      </c>
      <c r="L59" s="2">
        <v>93000</v>
      </c>
      <c r="M59" s="18">
        <v>380068.37</v>
      </c>
      <c r="N59" s="47">
        <v>110000</v>
      </c>
      <c r="O59" s="48">
        <v>440596.6</v>
      </c>
      <c r="P59" s="47">
        <v>107000</v>
      </c>
      <c r="Q59" s="48">
        <v>439908.51</v>
      </c>
      <c r="R59" s="47">
        <v>114000</v>
      </c>
      <c r="S59" s="48">
        <v>459841.03</v>
      </c>
      <c r="T59" s="47">
        <v>50000</v>
      </c>
      <c r="U59" s="48">
        <v>207104.99</v>
      </c>
      <c r="V59" s="47">
        <v>63000</v>
      </c>
      <c r="W59" s="48">
        <v>267352.25</v>
      </c>
      <c r="X59" s="47">
        <v>105000</v>
      </c>
      <c r="Y59" s="48">
        <v>428808.83</v>
      </c>
      <c r="Z59" s="47">
        <v>94000</v>
      </c>
      <c r="AA59" s="48">
        <v>378349.12</v>
      </c>
      <c r="AB59" s="2">
        <f t="shared" si="3"/>
        <v>1061000</v>
      </c>
      <c r="AC59" s="2">
        <f t="shared" si="4"/>
        <v>4285233.120000001</v>
      </c>
    </row>
    <row r="60" spans="1:29" x14ac:dyDescent="0.35">
      <c r="A60" s="36">
        <v>22</v>
      </c>
      <c r="B60" s="30">
        <v>5701540304</v>
      </c>
      <c r="C60" s="13" t="s">
        <v>37</v>
      </c>
      <c r="D60" s="47">
        <v>75408</v>
      </c>
      <c r="E60" s="52">
        <v>335226.37</v>
      </c>
      <c r="F60" s="47">
        <v>71748</v>
      </c>
      <c r="G60" s="52">
        <v>319163.49</v>
      </c>
      <c r="H60" s="2">
        <v>54420</v>
      </c>
      <c r="I60" s="22">
        <v>244415.46</v>
      </c>
      <c r="J60" s="47">
        <v>66348</v>
      </c>
      <c r="K60" s="52">
        <v>303147.12</v>
      </c>
      <c r="L60" s="2">
        <v>78276</v>
      </c>
      <c r="M60" s="23">
        <v>368270.12</v>
      </c>
      <c r="N60" s="106">
        <v>95892</v>
      </c>
      <c r="O60" s="52">
        <v>447095.11</v>
      </c>
      <c r="P60" s="47">
        <v>91884</v>
      </c>
      <c r="Q60" s="52">
        <v>437544.89</v>
      </c>
      <c r="R60" s="47">
        <v>108840</v>
      </c>
      <c r="S60" s="52">
        <v>494541.52</v>
      </c>
      <c r="T60" s="106">
        <v>73092</v>
      </c>
      <c r="U60" s="53">
        <v>338620.9</v>
      </c>
      <c r="V60" s="53">
        <v>78624</v>
      </c>
      <c r="W60" s="53">
        <v>370694.28</v>
      </c>
      <c r="X60" s="47">
        <v>91992</v>
      </c>
      <c r="Y60" s="52">
        <v>428886.26</v>
      </c>
      <c r="Z60" s="47">
        <v>93672</v>
      </c>
      <c r="AA60" s="52">
        <v>433274.39</v>
      </c>
      <c r="AB60" s="2">
        <f>+D60+F60+H60+J60+L60+N60+P60+R60+T60+V60+X60+Z60</f>
        <v>980196</v>
      </c>
      <c r="AC60" s="2">
        <f t="shared" si="4"/>
        <v>4520879.9099999992</v>
      </c>
    </row>
    <row r="61" spans="1:29" x14ac:dyDescent="0.35">
      <c r="A61" s="36">
        <v>23</v>
      </c>
      <c r="B61" s="8">
        <v>20964080</v>
      </c>
      <c r="C61" s="2" t="s">
        <v>37</v>
      </c>
      <c r="D61" s="47">
        <v>784</v>
      </c>
      <c r="E61" s="53">
        <v>7976.43</v>
      </c>
      <c r="F61" s="47">
        <v>748</v>
      </c>
      <c r="G61" s="53">
        <v>7688.01</v>
      </c>
      <c r="H61" s="3">
        <v>956</v>
      </c>
      <c r="I61" s="22">
        <v>8793.68</v>
      </c>
      <c r="J61" s="47">
        <v>1032</v>
      </c>
      <c r="K61" s="53">
        <v>9288.64</v>
      </c>
      <c r="L61" s="2">
        <v>1068</v>
      </c>
      <c r="M61" s="24">
        <v>5975.93</v>
      </c>
      <c r="N61" s="47">
        <v>1736</v>
      </c>
      <c r="O61" s="53">
        <v>14291.17</v>
      </c>
      <c r="P61" s="47">
        <v>776</v>
      </c>
      <c r="Q61" s="53">
        <v>5443</v>
      </c>
      <c r="R61" s="47">
        <v>764</v>
      </c>
      <c r="S61" s="53">
        <v>8542.2900000000009</v>
      </c>
      <c r="T61" s="47">
        <v>716</v>
      </c>
      <c r="U61" s="53">
        <v>5417.51</v>
      </c>
      <c r="V61" s="47">
        <v>764</v>
      </c>
      <c r="W61" s="53">
        <v>5617.89</v>
      </c>
      <c r="X61" s="106">
        <v>796</v>
      </c>
      <c r="Y61" s="47">
        <v>8069.33</v>
      </c>
      <c r="Z61" s="47">
        <v>936</v>
      </c>
      <c r="AA61" s="53">
        <v>8873.36</v>
      </c>
      <c r="AB61" s="2">
        <f>+D61+F61+H61+J61+L61+N61+P61+R61+T61+V61+X61+Z61</f>
        <v>11076</v>
      </c>
      <c r="AC61" s="2">
        <f>+E61+G61+I61+K61+M61+O61+Q61+S61+U61+W61+Y61+AA61</f>
        <v>95977.239999999991</v>
      </c>
    </row>
    <row r="62" spans="1:29" x14ac:dyDescent="0.35">
      <c r="A62" s="36">
        <v>24</v>
      </c>
      <c r="B62" s="8">
        <v>27685433</v>
      </c>
      <c r="C62" s="2" t="s">
        <v>37</v>
      </c>
      <c r="D62" s="54">
        <v>0</v>
      </c>
      <c r="E62" s="55">
        <v>0</v>
      </c>
      <c r="F62" s="56">
        <v>0</v>
      </c>
      <c r="G62" s="53">
        <v>0</v>
      </c>
      <c r="H62" s="1">
        <v>0</v>
      </c>
      <c r="I62" s="28">
        <v>0</v>
      </c>
      <c r="J62" s="47">
        <v>0</v>
      </c>
      <c r="K62" s="53">
        <v>0</v>
      </c>
      <c r="L62" s="2"/>
      <c r="M62" s="25"/>
      <c r="N62" s="47"/>
      <c r="O62" s="53"/>
      <c r="P62" s="47"/>
      <c r="Q62" s="53"/>
      <c r="R62" s="35"/>
      <c r="S62" s="35"/>
      <c r="T62" s="41"/>
      <c r="U62" s="28"/>
      <c r="V62" s="41"/>
      <c r="W62" s="28"/>
      <c r="X62" s="35"/>
      <c r="Y62" s="35"/>
      <c r="Z62" s="47"/>
      <c r="AA62" s="53"/>
      <c r="AB62" s="2">
        <f t="shared" si="3"/>
        <v>0</v>
      </c>
      <c r="AC62" s="2">
        <f t="shared" si="4"/>
        <v>0</v>
      </c>
    </row>
    <row r="63" spans="1:29" x14ac:dyDescent="0.35">
      <c r="A63" s="36">
        <v>25</v>
      </c>
      <c r="B63" s="10">
        <v>6300579652</v>
      </c>
      <c r="C63" s="2" t="s">
        <v>50</v>
      </c>
      <c r="D63" s="55">
        <v>0</v>
      </c>
      <c r="E63" s="55">
        <v>0</v>
      </c>
      <c r="F63" s="57">
        <v>0</v>
      </c>
      <c r="G63" s="55">
        <v>0</v>
      </c>
      <c r="H63" s="25">
        <v>0</v>
      </c>
      <c r="I63" s="22">
        <v>0</v>
      </c>
      <c r="J63" s="112">
        <v>0</v>
      </c>
      <c r="K63" s="53">
        <v>0</v>
      </c>
      <c r="L63" s="28"/>
      <c r="M63" s="22"/>
      <c r="N63" s="57"/>
      <c r="O63" s="53"/>
      <c r="P63" s="55"/>
      <c r="Q63" s="53"/>
      <c r="R63" s="28"/>
      <c r="S63" s="28"/>
      <c r="T63" s="28"/>
      <c r="U63" s="28"/>
      <c r="V63" s="28"/>
      <c r="W63" s="28"/>
      <c r="X63" s="43"/>
      <c r="Y63" s="28"/>
      <c r="Z63" s="55"/>
      <c r="AA63" s="55"/>
      <c r="AB63" s="2">
        <f t="shared" si="3"/>
        <v>0</v>
      </c>
      <c r="AC63" s="2">
        <f t="shared" si="4"/>
        <v>0</v>
      </c>
    </row>
    <row r="64" spans="1:29" x14ac:dyDescent="0.35">
      <c r="A64" s="36">
        <v>26</v>
      </c>
      <c r="B64" s="8">
        <v>6500729436</v>
      </c>
      <c r="C64" s="2" t="s">
        <v>37</v>
      </c>
      <c r="D64" s="48">
        <v>148.80000000000001</v>
      </c>
      <c r="E64" s="58">
        <v>989.01</v>
      </c>
      <c r="F64" s="59">
        <v>69.599999999999994</v>
      </c>
      <c r="G64" s="58">
        <v>640.42999999999995</v>
      </c>
      <c r="H64" s="2">
        <v>149.6</v>
      </c>
      <c r="I64" s="18">
        <v>992.53</v>
      </c>
      <c r="J64" s="47">
        <v>127.2</v>
      </c>
      <c r="K64" s="47">
        <v>920.13</v>
      </c>
      <c r="L64" s="2">
        <v>165.6</v>
      </c>
      <c r="M64" s="2">
        <v>1097.06</v>
      </c>
      <c r="N64" s="47">
        <v>172.8</v>
      </c>
      <c r="O64" s="47">
        <v>1130.23</v>
      </c>
      <c r="P64" s="47">
        <v>164.8</v>
      </c>
      <c r="Q64" s="47">
        <v>1093.3699999999999</v>
      </c>
      <c r="R64" s="47">
        <v>164.8</v>
      </c>
      <c r="S64" s="47">
        <v>1093.3699999999999</v>
      </c>
      <c r="T64" s="48">
        <v>274.39999999999998</v>
      </c>
      <c r="U64" s="58">
        <v>1598.31</v>
      </c>
      <c r="V64" s="48">
        <v>293.60000000000002</v>
      </c>
      <c r="W64" s="48">
        <v>1686.77</v>
      </c>
      <c r="X64" s="47">
        <v>320.8</v>
      </c>
      <c r="Y64" s="47">
        <v>1812.09</v>
      </c>
      <c r="Z64" s="48">
        <v>293.60000000000002</v>
      </c>
      <c r="AA64" s="48">
        <v>1686.77</v>
      </c>
      <c r="AB64" s="2">
        <f>+D64+F64+H64+J64+L64+N64+P64+R64+T64+V64+X64+Z64</f>
        <v>2345.6</v>
      </c>
      <c r="AC64" s="2">
        <f t="shared" si="4"/>
        <v>14740.07</v>
      </c>
    </row>
    <row r="65" spans="1:29" ht="18.600000000000001" thickBot="1" x14ac:dyDescent="0.4">
      <c r="A65" s="9"/>
      <c r="B65" s="10" t="s">
        <v>24</v>
      </c>
      <c r="C65" s="11"/>
      <c r="D65" s="14">
        <f>SUM(D39:D64)</f>
        <v>2550250.7999999998</v>
      </c>
      <c r="E65" s="14">
        <f t="shared" ref="E65:AA65" si="5">SUM(E39:E64)</f>
        <v>9918361.1399999987</v>
      </c>
      <c r="F65" s="14">
        <f t="shared" si="5"/>
        <v>2510755.6</v>
      </c>
      <c r="G65" s="14">
        <f t="shared" si="5"/>
        <v>11058639.479999999</v>
      </c>
      <c r="H65" s="14">
        <f t="shared" si="5"/>
        <v>2125529.6</v>
      </c>
      <c r="I65" s="14">
        <f t="shared" si="5"/>
        <v>9277709.589999998</v>
      </c>
      <c r="J65" s="14">
        <f t="shared" si="5"/>
        <v>2304546.2000000002</v>
      </c>
      <c r="K65" s="14">
        <f t="shared" si="5"/>
        <v>10611820.130000001</v>
      </c>
      <c r="L65" s="14">
        <f t="shared" si="5"/>
        <v>2438796.6</v>
      </c>
      <c r="M65" s="14">
        <f t="shared" si="5"/>
        <v>11401517.189999999</v>
      </c>
      <c r="N65" s="14">
        <f t="shared" si="5"/>
        <v>2804762.8</v>
      </c>
      <c r="O65" s="14">
        <f t="shared" si="5"/>
        <v>12917225.329999998</v>
      </c>
      <c r="P65" s="14">
        <f t="shared" si="5"/>
        <v>2697056.8</v>
      </c>
      <c r="Q65" s="14">
        <f t="shared" si="5"/>
        <v>12671609.609999999</v>
      </c>
      <c r="R65" s="14">
        <f t="shared" si="5"/>
        <v>2884636.8</v>
      </c>
      <c r="S65" s="14">
        <f t="shared" si="5"/>
        <v>13196722.129999997</v>
      </c>
      <c r="T65" s="14">
        <f t="shared" si="5"/>
        <v>2375451.4</v>
      </c>
      <c r="U65" s="14">
        <f t="shared" si="5"/>
        <v>10850527.41</v>
      </c>
      <c r="V65" s="14">
        <f t="shared" si="5"/>
        <v>2366961.6</v>
      </c>
      <c r="W65" s="14">
        <f t="shared" si="5"/>
        <v>10946331.17</v>
      </c>
      <c r="X65" s="14">
        <f t="shared" si="5"/>
        <v>2819946.8</v>
      </c>
      <c r="Y65" s="14">
        <f t="shared" si="5"/>
        <v>12991536.41</v>
      </c>
      <c r="Z65" s="14">
        <f t="shared" si="5"/>
        <v>2580430.6</v>
      </c>
      <c r="AA65" s="14">
        <f t="shared" si="5"/>
        <v>11890937.489999998</v>
      </c>
      <c r="AB65" s="14">
        <f>SUM(AB39:AB64)</f>
        <v>30459125.600000001</v>
      </c>
      <c r="AC65" s="14">
        <f>SUM(AC39:AC64)</f>
        <v>137732937.08000001</v>
      </c>
    </row>
    <row r="66" spans="1:29" ht="18.600000000000001" thickTop="1" x14ac:dyDescent="0.35">
      <c r="X66" s="3">
        <f>+X60+X61+X64</f>
        <v>93108.800000000003</v>
      </c>
      <c r="AB66" s="15"/>
      <c r="AC66" s="15"/>
    </row>
    <row r="67" spans="1:29" x14ac:dyDescent="0.35">
      <c r="AA67" s="3" t="s">
        <v>24</v>
      </c>
      <c r="AB67" s="119">
        <f>+AB68+AB69+AB70+AB71</f>
        <v>30459125.600000001</v>
      </c>
      <c r="AC67" s="119">
        <f>+AC68+AC69+AC70+AC71</f>
        <v>137732937.08000001</v>
      </c>
    </row>
    <row r="68" spans="1:29" x14ac:dyDescent="0.35">
      <c r="AA68" s="3" t="s">
        <v>91</v>
      </c>
      <c r="AB68" s="118">
        <v>18489265</v>
      </c>
      <c r="AC68" s="118">
        <v>87173729.829999998</v>
      </c>
    </row>
    <row r="69" spans="1:29" x14ac:dyDescent="0.35">
      <c r="AA69" s="3" t="s">
        <v>21</v>
      </c>
      <c r="AB69" s="118">
        <v>9308000</v>
      </c>
      <c r="AC69" s="118">
        <v>38010679.719999999</v>
      </c>
    </row>
    <row r="70" spans="1:29" x14ac:dyDescent="0.35">
      <c r="AA70" s="3" t="s">
        <v>37</v>
      </c>
      <c r="AB70" s="118">
        <v>1668243</v>
      </c>
      <c r="AC70" s="118">
        <v>7916930.3099999996</v>
      </c>
    </row>
    <row r="71" spans="1:29" x14ac:dyDescent="0.35">
      <c r="AA71" s="3" t="s">
        <v>22</v>
      </c>
      <c r="AB71" s="118">
        <v>993617.6</v>
      </c>
      <c r="AC71" s="118">
        <v>4631597.22</v>
      </c>
    </row>
    <row r="72" spans="1:29" x14ac:dyDescent="0.35">
      <c r="AB72" s="118"/>
      <c r="AC72" s="118"/>
    </row>
    <row r="73" spans="1:29" customFormat="1" ht="13.8" x14ac:dyDescent="0.25"/>
    <row r="74" spans="1:29" customFormat="1" x14ac:dyDescent="0.35">
      <c r="A74" s="199" t="s">
        <v>97</v>
      </c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  <c r="AB74" s="199"/>
      <c r="AC74" s="5"/>
    </row>
    <row r="75" spans="1:29" customFormat="1" x14ac:dyDescent="0.25">
      <c r="A75" s="200" t="s">
        <v>0</v>
      </c>
      <c r="B75" s="200" t="s">
        <v>1</v>
      </c>
      <c r="C75" s="202" t="s">
        <v>2</v>
      </c>
      <c r="D75" s="197" t="s">
        <v>98</v>
      </c>
      <c r="E75" s="198"/>
      <c r="F75" s="197" t="s">
        <v>99</v>
      </c>
      <c r="G75" s="198"/>
      <c r="H75" s="197" t="s">
        <v>100</v>
      </c>
      <c r="I75" s="198"/>
      <c r="J75" s="197" t="s">
        <v>101</v>
      </c>
      <c r="K75" s="198"/>
      <c r="L75" s="197" t="s">
        <v>102</v>
      </c>
      <c r="M75" s="198"/>
      <c r="N75" s="197" t="s">
        <v>103</v>
      </c>
      <c r="O75" s="198"/>
      <c r="P75" s="197" t="s">
        <v>104</v>
      </c>
      <c r="Q75" s="198"/>
      <c r="R75" s="197" t="s">
        <v>105</v>
      </c>
      <c r="S75" s="198"/>
      <c r="T75" s="197" t="s">
        <v>106</v>
      </c>
      <c r="U75" s="198"/>
      <c r="V75" s="197" t="s">
        <v>107</v>
      </c>
      <c r="W75" s="198"/>
      <c r="X75" s="197" t="s">
        <v>108</v>
      </c>
      <c r="Y75" s="198"/>
      <c r="Z75" s="197" t="s">
        <v>109</v>
      </c>
      <c r="AA75" s="198"/>
      <c r="AB75" s="195" t="s">
        <v>24</v>
      </c>
      <c r="AC75" s="196"/>
    </row>
    <row r="76" spans="1:29" customFormat="1" x14ac:dyDescent="0.25">
      <c r="A76" s="201"/>
      <c r="B76" s="201"/>
      <c r="C76" s="203"/>
      <c r="D76" s="6" t="s">
        <v>3</v>
      </c>
      <c r="E76" s="6" t="s">
        <v>39</v>
      </c>
      <c r="F76" s="6" t="s">
        <v>3</v>
      </c>
      <c r="G76" s="6" t="s">
        <v>39</v>
      </c>
      <c r="H76" s="6" t="s">
        <v>3</v>
      </c>
      <c r="I76" s="6" t="s">
        <v>39</v>
      </c>
      <c r="J76" s="6" t="s">
        <v>3</v>
      </c>
      <c r="K76" s="6" t="s">
        <v>39</v>
      </c>
      <c r="L76" s="6" t="s">
        <v>3</v>
      </c>
      <c r="M76" s="6" t="s">
        <v>39</v>
      </c>
      <c r="N76" s="6" t="s">
        <v>3</v>
      </c>
      <c r="O76" s="6" t="s">
        <v>39</v>
      </c>
      <c r="P76" s="6" t="s">
        <v>3</v>
      </c>
      <c r="Q76" s="6" t="s">
        <v>39</v>
      </c>
      <c r="R76" s="6" t="s">
        <v>3</v>
      </c>
      <c r="S76" s="6" t="s">
        <v>39</v>
      </c>
      <c r="T76" s="6" t="s">
        <v>3</v>
      </c>
      <c r="U76" s="6" t="s">
        <v>39</v>
      </c>
      <c r="V76" s="6" t="s">
        <v>3</v>
      </c>
      <c r="W76" s="6" t="s">
        <v>39</v>
      </c>
      <c r="X76" s="6" t="s">
        <v>3</v>
      </c>
      <c r="Y76" s="6" t="s">
        <v>39</v>
      </c>
      <c r="Z76" s="6" t="s">
        <v>3</v>
      </c>
      <c r="AA76" s="6" t="s">
        <v>39</v>
      </c>
      <c r="AB76" s="6" t="s">
        <v>3</v>
      </c>
      <c r="AC76" s="6" t="s">
        <v>39</v>
      </c>
    </row>
    <row r="77" spans="1:29" customFormat="1" ht="19.8" customHeight="1" x14ac:dyDescent="0.35">
      <c r="A77" s="36">
        <v>1</v>
      </c>
      <c r="B77" s="37" t="s">
        <v>42</v>
      </c>
      <c r="C77" s="38" t="s">
        <v>43</v>
      </c>
      <c r="D77" s="46">
        <v>991</v>
      </c>
      <c r="E77" s="46">
        <v>3847.53</v>
      </c>
      <c r="F77" s="46">
        <v>841</v>
      </c>
      <c r="G77" s="46">
        <v>3315.73</v>
      </c>
      <c r="H77" s="46">
        <v>627</v>
      </c>
      <c r="I77" s="46">
        <v>2557.02</v>
      </c>
      <c r="J77" s="46">
        <v>1419</v>
      </c>
      <c r="K77" s="46">
        <v>5319.38</v>
      </c>
      <c r="L77" s="46">
        <v>1226</v>
      </c>
      <c r="M77" s="46">
        <v>4641.33</v>
      </c>
      <c r="N77" s="46">
        <v>1586</v>
      </c>
      <c r="O77" s="46">
        <v>5906.1</v>
      </c>
      <c r="P77" s="46">
        <v>1471</v>
      </c>
      <c r="Q77" s="46">
        <v>5502.07</v>
      </c>
      <c r="R77" s="46">
        <v>1420</v>
      </c>
      <c r="S77" s="46">
        <v>5064.59</v>
      </c>
      <c r="T77" s="46">
        <v>1151</v>
      </c>
      <c r="U77" s="46">
        <v>4168.46</v>
      </c>
      <c r="V77" s="107">
        <v>1707</v>
      </c>
      <c r="W77" s="120">
        <v>6020.7</v>
      </c>
      <c r="X77" s="46">
        <v>1616</v>
      </c>
      <c r="Y77" s="46">
        <v>5717.55</v>
      </c>
      <c r="Z77" s="46">
        <v>1957</v>
      </c>
      <c r="AA77" s="46">
        <v>6769.76</v>
      </c>
      <c r="AB77" s="2">
        <f>+D77+F77+H77+J77+L77+N77+P77+R77+T77+V77+X77+Z77</f>
        <v>16012</v>
      </c>
      <c r="AC77" s="2">
        <f>+E77+G77+I77+K77+M77+O77+Q77+S77+U77+W77+Y77+AA77</f>
        <v>58830.22</v>
      </c>
    </row>
    <row r="78" spans="1:29" customFormat="1" x14ac:dyDescent="0.35">
      <c r="A78" s="36">
        <v>2</v>
      </c>
      <c r="B78" s="37" t="s">
        <v>44</v>
      </c>
      <c r="C78" s="38" t="s">
        <v>45</v>
      </c>
      <c r="D78" s="46">
        <v>793</v>
      </c>
      <c r="E78" s="46">
        <v>34427.550000000003</v>
      </c>
      <c r="F78" s="46">
        <v>738</v>
      </c>
      <c r="G78" s="46">
        <v>27858.92</v>
      </c>
      <c r="H78" s="46">
        <v>196</v>
      </c>
      <c r="I78" s="46">
        <v>27628.57</v>
      </c>
      <c r="J78" s="46">
        <v>20</v>
      </c>
      <c r="K78" s="46">
        <v>27553.119999999999</v>
      </c>
      <c r="L78" s="46">
        <v>35</v>
      </c>
      <c r="M78" s="46">
        <v>27559.02</v>
      </c>
      <c r="N78" s="46">
        <v>110</v>
      </c>
      <c r="O78" s="46">
        <v>27588.48</v>
      </c>
      <c r="P78" s="46">
        <v>333</v>
      </c>
      <c r="Q78" s="46">
        <v>26575.08</v>
      </c>
      <c r="R78" s="46">
        <v>288</v>
      </c>
      <c r="S78" s="46">
        <v>31568.92</v>
      </c>
      <c r="T78" s="46">
        <v>38</v>
      </c>
      <c r="U78" s="46">
        <v>26452.25</v>
      </c>
      <c r="V78" s="107">
        <v>143</v>
      </c>
      <c r="W78" s="120">
        <v>26474.41</v>
      </c>
      <c r="X78" s="46">
        <v>581</v>
      </c>
      <c r="Y78" s="46">
        <v>26566.83</v>
      </c>
      <c r="Z78" s="46">
        <v>428</v>
      </c>
      <c r="AA78" s="46">
        <v>23123</v>
      </c>
      <c r="AB78" s="2">
        <f t="shared" ref="AB78:AB83" si="6">+D78+F78+H78+J78+L78+N78+P78+R78+T78+V78+X78+Z78</f>
        <v>3703</v>
      </c>
      <c r="AC78" s="2">
        <f t="shared" ref="AC78:AC83" si="7">+E78+G78+I78+K78+M78+O78+Q78+S78+U78+W78+Y78+AA78</f>
        <v>333376.14999999997</v>
      </c>
    </row>
    <row r="79" spans="1:29" customFormat="1" x14ac:dyDescent="0.35">
      <c r="A79" s="36">
        <v>3</v>
      </c>
      <c r="B79" s="114" t="s">
        <v>94</v>
      </c>
      <c r="C79" s="115" t="s">
        <v>95</v>
      </c>
      <c r="D79" s="46">
        <v>337</v>
      </c>
      <c r="E79" s="46">
        <v>9848.84</v>
      </c>
      <c r="F79" s="176">
        <v>274</v>
      </c>
      <c r="G79" s="176">
        <v>3965.22</v>
      </c>
      <c r="H79" s="46">
        <v>224</v>
      </c>
      <c r="I79" s="46">
        <v>2770.06</v>
      </c>
      <c r="J79" s="46">
        <v>299</v>
      </c>
      <c r="K79" s="46">
        <v>6114.01</v>
      </c>
      <c r="L79" s="46">
        <v>144</v>
      </c>
      <c r="M79" s="46">
        <v>6053.12</v>
      </c>
      <c r="N79" s="46">
        <v>181</v>
      </c>
      <c r="O79" s="46">
        <v>6401.07</v>
      </c>
      <c r="P79" s="46">
        <v>214</v>
      </c>
      <c r="Q79" s="46">
        <v>6080.62</v>
      </c>
      <c r="R79" s="46">
        <v>252</v>
      </c>
      <c r="S79" s="46">
        <v>6049.71</v>
      </c>
      <c r="T79" s="46">
        <v>368</v>
      </c>
      <c r="U79" s="46">
        <v>9267.26</v>
      </c>
      <c r="V79" s="107">
        <v>303</v>
      </c>
      <c r="W79" s="120">
        <v>6060.47</v>
      </c>
      <c r="X79" s="46">
        <v>626</v>
      </c>
      <c r="Y79" s="46">
        <v>6128.63</v>
      </c>
      <c r="Z79" s="46">
        <v>386</v>
      </c>
      <c r="AA79" s="46">
        <v>6061.46</v>
      </c>
      <c r="AB79" s="2">
        <f t="shared" si="6"/>
        <v>3608</v>
      </c>
      <c r="AC79" s="2">
        <f t="shared" si="7"/>
        <v>74800.47</v>
      </c>
    </row>
    <row r="80" spans="1:29" customFormat="1" x14ac:dyDescent="0.35">
      <c r="A80" s="36">
        <v>4</v>
      </c>
      <c r="B80" s="8" t="s">
        <v>4</v>
      </c>
      <c r="C80" s="2" t="s">
        <v>25</v>
      </c>
      <c r="D80" s="47">
        <v>87000</v>
      </c>
      <c r="E80" s="48">
        <v>417534.73</v>
      </c>
      <c r="F80" s="47">
        <v>93000</v>
      </c>
      <c r="G80" s="48">
        <v>443974.46</v>
      </c>
      <c r="H80" s="47">
        <v>68000</v>
      </c>
      <c r="I80" s="48">
        <v>324747.63</v>
      </c>
      <c r="J80" s="47">
        <v>65000</v>
      </c>
      <c r="K80" s="48">
        <v>308745.18</v>
      </c>
      <c r="L80" s="47">
        <v>79000</v>
      </c>
      <c r="M80" s="48">
        <v>379987.63</v>
      </c>
      <c r="N80" s="47">
        <v>96000</v>
      </c>
      <c r="O80" s="48">
        <v>460007.48</v>
      </c>
      <c r="P80" s="47">
        <v>89000</v>
      </c>
      <c r="Q80" s="48">
        <v>430455.25</v>
      </c>
      <c r="R80" s="47">
        <v>87000</v>
      </c>
      <c r="S80" s="48">
        <v>404858.59</v>
      </c>
      <c r="T80" s="47">
        <v>81000</v>
      </c>
      <c r="U80" s="48">
        <v>400643.43</v>
      </c>
      <c r="V80" s="47">
        <v>83000</v>
      </c>
      <c r="W80" s="48">
        <v>387609.86</v>
      </c>
      <c r="X80" s="47">
        <v>92000</v>
      </c>
      <c r="Y80" s="48">
        <v>423541.51</v>
      </c>
      <c r="Z80" s="47">
        <v>92000</v>
      </c>
      <c r="AA80" s="48">
        <v>425355.52000000002</v>
      </c>
      <c r="AB80" s="2">
        <f t="shared" si="6"/>
        <v>1012000</v>
      </c>
      <c r="AC80" s="2">
        <f t="shared" si="7"/>
        <v>4807461.2699999996</v>
      </c>
    </row>
    <row r="81" spans="1:29" customFormat="1" x14ac:dyDescent="0.35">
      <c r="A81" s="36">
        <v>5</v>
      </c>
      <c r="B81" s="8" t="s">
        <v>5</v>
      </c>
      <c r="C81" s="2" t="s">
        <v>48</v>
      </c>
      <c r="D81" s="47">
        <v>208000</v>
      </c>
      <c r="E81" s="48">
        <v>997068.35</v>
      </c>
      <c r="F81" s="47">
        <v>201000</v>
      </c>
      <c r="G81" s="49">
        <v>959530.7</v>
      </c>
      <c r="H81" s="47">
        <v>153000</v>
      </c>
      <c r="I81" s="48">
        <v>697631.43</v>
      </c>
      <c r="J81" s="47">
        <v>147000</v>
      </c>
      <c r="K81" s="48">
        <v>687726.4</v>
      </c>
      <c r="L81" s="47">
        <v>166000</v>
      </c>
      <c r="M81" s="48">
        <v>779066.19</v>
      </c>
      <c r="N81" s="47">
        <v>221000</v>
      </c>
      <c r="O81" s="48">
        <v>1064807.7</v>
      </c>
      <c r="P81" s="47">
        <v>206000</v>
      </c>
      <c r="Q81" s="48">
        <v>988601.36</v>
      </c>
      <c r="R81" s="47">
        <v>219000</v>
      </c>
      <c r="S81" s="48">
        <v>988225.41</v>
      </c>
      <c r="T81" s="47">
        <v>177000</v>
      </c>
      <c r="U81" s="48">
        <v>794858.98</v>
      </c>
      <c r="V81" s="47">
        <v>186000</v>
      </c>
      <c r="W81" s="48">
        <v>817975.29</v>
      </c>
      <c r="X81" s="47">
        <v>210000</v>
      </c>
      <c r="Y81" s="106">
        <v>950064.19</v>
      </c>
      <c r="Z81" s="47">
        <v>212000</v>
      </c>
      <c r="AA81" s="48">
        <v>949875.41</v>
      </c>
      <c r="AB81" s="2">
        <f t="shared" si="6"/>
        <v>2306000</v>
      </c>
      <c r="AC81" s="2">
        <f t="shared" si="7"/>
        <v>10675431.409999998</v>
      </c>
    </row>
    <row r="82" spans="1:29" customFormat="1" x14ac:dyDescent="0.35">
      <c r="A82" s="36">
        <v>6</v>
      </c>
      <c r="B82" s="8" t="s">
        <v>6</v>
      </c>
      <c r="C82" s="2" t="s">
        <v>49</v>
      </c>
      <c r="D82" s="47">
        <v>171000</v>
      </c>
      <c r="E82" s="48">
        <v>831218.58</v>
      </c>
      <c r="F82" s="47">
        <v>162000</v>
      </c>
      <c r="G82" s="48">
        <v>792727.96</v>
      </c>
      <c r="H82" s="47">
        <v>119000</v>
      </c>
      <c r="I82" s="48">
        <v>559208.11</v>
      </c>
      <c r="J82" s="47">
        <v>117000</v>
      </c>
      <c r="K82" s="48">
        <v>556961.80000000005</v>
      </c>
      <c r="L82" s="47">
        <v>160000</v>
      </c>
      <c r="M82" s="48">
        <v>773821.83</v>
      </c>
      <c r="N82" s="47">
        <v>183000</v>
      </c>
      <c r="O82" s="48">
        <v>878966.93</v>
      </c>
      <c r="P82" s="47">
        <v>161000</v>
      </c>
      <c r="Q82" s="48">
        <v>799425.82</v>
      </c>
      <c r="R82" s="47">
        <v>178000</v>
      </c>
      <c r="S82" s="48">
        <v>805506.45</v>
      </c>
      <c r="T82" s="47">
        <v>139000</v>
      </c>
      <c r="U82" s="48">
        <v>640553.09</v>
      </c>
      <c r="V82" s="106">
        <v>166000</v>
      </c>
      <c r="W82" s="48">
        <v>765971.01</v>
      </c>
      <c r="X82" s="47">
        <v>181000</v>
      </c>
      <c r="Y82" s="48">
        <v>829462.21</v>
      </c>
      <c r="Z82" s="47">
        <v>176000</v>
      </c>
      <c r="AA82" s="48">
        <v>829115.44</v>
      </c>
      <c r="AB82" s="2">
        <f t="shared" si="6"/>
        <v>1913000</v>
      </c>
      <c r="AC82" s="2">
        <f t="shared" si="7"/>
        <v>9062939.2300000004</v>
      </c>
    </row>
    <row r="83" spans="1:29" customFormat="1" x14ac:dyDescent="0.35">
      <c r="A83" s="36">
        <v>7</v>
      </c>
      <c r="B83" s="8" t="s">
        <v>7</v>
      </c>
      <c r="C83" s="2" t="s">
        <v>21</v>
      </c>
      <c r="D83" s="47">
        <v>747000</v>
      </c>
      <c r="E83" s="49">
        <v>3151699.02</v>
      </c>
      <c r="F83" s="47">
        <v>769000</v>
      </c>
      <c r="G83" s="49">
        <v>3227944.52</v>
      </c>
      <c r="H83" s="47">
        <v>651000</v>
      </c>
      <c r="I83" s="47">
        <v>2665410.81</v>
      </c>
      <c r="J83" s="47">
        <v>615000</v>
      </c>
      <c r="K83" s="47">
        <v>2540708.56</v>
      </c>
      <c r="L83" s="47">
        <v>672000</v>
      </c>
      <c r="M83" s="47">
        <v>2786272.21</v>
      </c>
      <c r="N83" s="47">
        <v>716000</v>
      </c>
      <c r="O83" s="49">
        <v>3010593.26</v>
      </c>
      <c r="P83" s="47">
        <v>301000</v>
      </c>
      <c r="Q83" s="47">
        <v>1369683.57</v>
      </c>
      <c r="R83" s="47">
        <v>753000</v>
      </c>
      <c r="S83" s="47">
        <v>2979352.79</v>
      </c>
      <c r="T83" s="107">
        <v>715000</v>
      </c>
      <c r="U83" s="120">
        <v>2860465.82</v>
      </c>
      <c r="V83" s="121">
        <v>740000</v>
      </c>
      <c r="W83" s="107">
        <v>2934438.53</v>
      </c>
      <c r="X83" s="47">
        <v>814000</v>
      </c>
      <c r="Y83" s="48">
        <v>3209712.08</v>
      </c>
      <c r="Z83" s="47">
        <v>790000</v>
      </c>
      <c r="AA83" s="167">
        <v>3132564.4</v>
      </c>
      <c r="AB83" s="2">
        <f t="shared" si="6"/>
        <v>8283000</v>
      </c>
      <c r="AC83" s="2">
        <f t="shared" si="7"/>
        <v>33868845.57</v>
      </c>
    </row>
    <row r="84" spans="1:29" customFormat="1" x14ac:dyDescent="0.35">
      <c r="A84" s="36">
        <v>8</v>
      </c>
      <c r="B84" s="8" t="s">
        <v>46</v>
      </c>
      <c r="C84" s="2" t="s">
        <v>93</v>
      </c>
      <c r="D84" s="47"/>
      <c r="E84" s="49"/>
      <c r="F84" s="50"/>
      <c r="G84" s="51"/>
      <c r="H84" s="2"/>
      <c r="I84" s="2"/>
      <c r="J84" s="47"/>
      <c r="K84" s="47"/>
      <c r="L84" s="47">
        <v>0</v>
      </c>
      <c r="M84" s="47">
        <v>0</v>
      </c>
      <c r="N84" s="47">
        <v>0</v>
      </c>
      <c r="O84" s="47">
        <v>0</v>
      </c>
      <c r="P84" s="47"/>
      <c r="Q84" s="47"/>
      <c r="R84" s="47"/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2"/>
      <c r="Y84" s="42"/>
      <c r="Z84" s="168"/>
      <c r="AA84" s="168"/>
      <c r="AB84" s="2">
        <f t="shared" ref="AB84:AB100" si="8">+D84+F84+H84+J84+L84+N84+P84+R84+T84+V84+X84+Z84</f>
        <v>0</v>
      </c>
      <c r="AC84" s="2">
        <f>+E84+G84+I84+K84+M84+O84+Q84+S84+U84+W84+Y84+AA84</f>
        <v>0</v>
      </c>
    </row>
    <row r="85" spans="1:29" customFormat="1" x14ac:dyDescent="0.35">
      <c r="A85" s="36">
        <v>9</v>
      </c>
      <c r="B85" s="8">
        <v>97447915</v>
      </c>
      <c r="C85" s="47" t="s">
        <v>112</v>
      </c>
      <c r="D85" s="47"/>
      <c r="E85" s="49"/>
      <c r="F85" s="50"/>
      <c r="G85" s="51"/>
      <c r="H85" s="2"/>
      <c r="I85" s="2"/>
      <c r="J85" s="47"/>
      <c r="K85" s="47"/>
      <c r="L85" s="47">
        <v>0</v>
      </c>
      <c r="M85" s="47">
        <v>0</v>
      </c>
      <c r="N85" s="47">
        <v>58000</v>
      </c>
      <c r="O85" s="47">
        <v>444951.58</v>
      </c>
      <c r="P85" s="182">
        <v>356000</v>
      </c>
      <c r="Q85" s="107">
        <v>2731082.12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2"/>
      <c r="Y85" s="42"/>
      <c r="Z85" s="168"/>
      <c r="AA85" s="168"/>
      <c r="AB85" s="2">
        <f t="shared" si="8"/>
        <v>414000</v>
      </c>
      <c r="AC85" s="2">
        <f>+E85+G85+I85+K85+M85+O85+Q85+S85+U85+W85+Y85+AA85</f>
        <v>3176033.7</v>
      </c>
    </row>
    <row r="86" spans="1:29" customFormat="1" x14ac:dyDescent="0.35">
      <c r="A86" s="36">
        <v>10</v>
      </c>
      <c r="B86" s="8" t="s">
        <v>8</v>
      </c>
      <c r="C86" s="2" t="s">
        <v>26</v>
      </c>
      <c r="D86" s="47">
        <v>81000</v>
      </c>
      <c r="E86" s="47">
        <v>375481.15</v>
      </c>
      <c r="F86" s="47">
        <v>77000</v>
      </c>
      <c r="G86" s="47">
        <v>354167.22</v>
      </c>
      <c r="H86" s="47">
        <v>55000</v>
      </c>
      <c r="I86" s="47">
        <v>256583.23</v>
      </c>
      <c r="J86" s="47">
        <v>56000</v>
      </c>
      <c r="K86" s="47">
        <v>263906.44</v>
      </c>
      <c r="L86" s="47">
        <v>57000</v>
      </c>
      <c r="M86" s="177">
        <v>267101.31</v>
      </c>
      <c r="N86" s="47">
        <v>58000</v>
      </c>
      <c r="O86" s="47">
        <v>270280.17</v>
      </c>
      <c r="P86" s="47">
        <v>54000</v>
      </c>
      <c r="Q86" s="47">
        <v>255873.9</v>
      </c>
      <c r="R86" s="47">
        <v>65000</v>
      </c>
      <c r="S86" s="47">
        <v>292291.95</v>
      </c>
      <c r="T86" s="47">
        <v>78000</v>
      </c>
      <c r="U86" s="47">
        <v>335044.8</v>
      </c>
      <c r="V86" s="47">
        <v>77000</v>
      </c>
      <c r="W86" s="47">
        <v>335840.16</v>
      </c>
      <c r="X86" s="47">
        <v>82000</v>
      </c>
      <c r="Y86" s="47">
        <v>352247.33</v>
      </c>
      <c r="Z86" s="47">
        <v>78000</v>
      </c>
      <c r="AA86" s="47">
        <v>337331.77</v>
      </c>
      <c r="AB86" s="2">
        <f t="shared" si="8"/>
        <v>818000</v>
      </c>
      <c r="AC86" s="2">
        <f t="shared" ref="AC86:AC100" si="9">+E86+G86+I86+K86+M86+O86+Q86+S86+U86+W86+Y86+AA86</f>
        <v>3696149.43</v>
      </c>
    </row>
    <row r="87" spans="1:29" customFormat="1" x14ac:dyDescent="0.35">
      <c r="A87" s="36">
        <v>11</v>
      </c>
      <c r="B87" s="8" t="s">
        <v>9</v>
      </c>
      <c r="C87" s="2" t="s">
        <v>27</v>
      </c>
      <c r="D87" s="47">
        <v>42000</v>
      </c>
      <c r="E87" s="47">
        <v>196540.4</v>
      </c>
      <c r="F87" s="47">
        <v>43000</v>
      </c>
      <c r="G87" s="47">
        <v>202011.12</v>
      </c>
      <c r="H87" s="47">
        <v>34000</v>
      </c>
      <c r="I87" s="47">
        <v>156883.47</v>
      </c>
      <c r="J87" s="47">
        <v>34000</v>
      </c>
      <c r="K87" s="47">
        <v>157609.12</v>
      </c>
      <c r="L87" s="47">
        <v>38000</v>
      </c>
      <c r="M87" s="47">
        <v>182651</v>
      </c>
      <c r="N87" s="47">
        <v>46000</v>
      </c>
      <c r="O87" s="47">
        <v>216535.97</v>
      </c>
      <c r="P87" s="47">
        <v>46000</v>
      </c>
      <c r="Q87" s="47">
        <v>217689.86</v>
      </c>
      <c r="R87" s="47">
        <v>47000</v>
      </c>
      <c r="S87" s="47">
        <v>210897.07</v>
      </c>
      <c r="T87" s="47">
        <v>42000</v>
      </c>
      <c r="U87" s="47">
        <v>190112.64000000001</v>
      </c>
      <c r="V87" s="47">
        <v>43000</v>
      </c>
      <c r="W87" s="47">
        <v>193109.6</v>
      </c>
      <c r="X87" s="47">
        <v>43000</v>
      </c>
      <c r="Y87" s="47">
        <v>193678.54</v>
      </c>
      <c r="Z87" s="47">
        <v>42000</v>
      </c>
      <c r="AA87" s="47">
        <v>190132.08</v>
      </c>
      <c r="AB87" s="2">
        <f t="shared" si="8"/>
        <v>500000</v>
      </c>
      <c r="AC87" s="2">
        <f t="shared" si="9"/>
        <v>2307850.87</v>
      </c>
    </row>
    <row r="88" spans="1:29" customFormat="1" x14ac:dyDescent="0.35">
      <c r="A88" s="36">
        <v>12</v>
      </c>
      <c r="B88" s="8" t="s">
        <v>10</v>
      </c>
      <c r="C88" s="2" t="s">
        <v>28</v>
      </c>
      <c r="D88" s="47">
        <v>98000</v>
      </c>
      <c r="E88" s="47">
        <v>510993.8</v>
      </c>
      <c r="F88" s="47">
        <v>95000</v>
      </c>
      <c r="G88" s="47">
        <v>494154.94</v>
      </c>
      <c r="H88" s="47">
        <v>78000</v>
      </c>
      <c r="I88" s="47">
        <v>407521.31</v>
      </c>
      <c r="J88" s="47">
        <v>77000</v>
      </c>
      <c r="K88" s="47">
        <v>398092.52</v>
      </c>
      <c r="L88" s="47">
        <v>79000</v>
      </c>
      <c r="M88" s="47">
        <v>421518.45</v>
      </c>
      <c r="N88" s="47">
        <v>99000</v>
      </c>
      <c r="O88" s="47">
        <v>513855.56</v>
      </c>
      <c r="P88" s="47">
        <v>96000</v>
      </c>
      <c r="Q88" s="47">
        <v>508475.8</v>
      </c>
      <c r="R88" s="47">
        <v>101000</v>
      </c>
      <c r="S88" s="47">
        <v>506851.63</v>
      </c>
      <c r="T88" s="47">
        <v>96000</v>
      </c>
      <c r="U88" s="47">
        <v>491155.64</v>
      </c>
      <c r="V88" s="47">
        <v>102000</v>
      </c>
      <c r="W88" s="106">
        <v>517038.55</v>
      </c>
      <c r="X88" s="121">
        <v>100000</v>
      </c>
      <c r="Y88" s="47">
        <v>506114.42</v>
      </c>
      <c r="Z88" s="47">
        <v>102000</v>
      </c>
      <c r="AA88" s="47">
        <v>501863.08</v>
      </c>
      <c r="AB88" s="2">
        <f t="shared" si="8"/>
        <v>1123000</v>
      </c>
      <c r="AC88" s="2">
        <f t="shared" si="9"/>
        <v>5777635.6999999993</v>
      </c>
    </row>
    <row r="89" spans="1:29" customFormat="1" x14ac:dyDescent="0.35">
      <c r="A89" s="36">
        <v>13</v>
      </c>
      <c r="B89" s="8" t="s">
        <v>11</v>
      </c>
      <c r="C89" s="2" t="s">
        <v>29</v>
      </c>
      <c r="D89" s="47">
        <v>92000</v>
      </c>
      <c r="E89" s="47">
        <v>447416.53</v>
      </c>
      <c r="F89" s="47">
        <v>90000</v>
      </c>
      <c r="G89" s="47">
        <v>446952.47</v>
      </c>
      <c r="H89" s="47">
        <v>59000</v>
      </c>
      <c r="I89" s="47">
        <v>284423.96999999997</v>
      </c>
      <c r="J89" s="47">
        <v>64000</v>
      </c>
      <c r="K89" s="47">
        <v>311950.89</v>
      </c>
      <c r="L89" s="47">
        <v>77000</v>
      </c>
      <c r="M89" s="47">
        <v>383822.81</v>
      </c>
      <c r="N89" s="47">
        <v>100000</v>
      </c>
      <c r="O89" s="47">
        <v>500046.25</v>
      </c>
      <c r="P89" s="47">
        <v>91000</v>
      </c>
      <c r="Q89" s="47">
        <v>457925.97</v>
      </c>
      <c r="R89" s="47">
        <v>101000</v>
      </c>
      <c r="S89" s="47">
        <v>469762.11</v>
      </c>
      <c r="T89" s="47">
        <v>79000</v>
      </c>
      <c r="U89" s="47">
        <v>367608.83</v>
      </c>
      <c r="V89" s="47">
        <v>88000</v>
      </c>
      <c r="W89" s="47">
        <v>401629.22</v>
      </c>
      <c r="X89" s="47">
        <v>91000</v>
      </c>
      <c r="Y89" s="47">
        <v>429172.87</v>
      </c>
      <c r="Z89" s="47">
        <v>92000</v>
      </c>
      <c r="AA89" s="47">
        <v>430443.97</v>
      </c>
      <c r="AB89" s="2">
        <f t="shared" si="8"/>
        <v>1024000</v>
      </c>
      <c r="AC89" s="2">
        <f t="shared" si="9"/>
        <v>4931155.8899999997</v>
      </c>
    </row>
    <row r="90" spans="1:29" customFormat="1" x14ac:dyDescent="0.35">
      <c r="A90" s="36">
        <v>14</v>
      </c>
      <c r="B90" s="8" t="s">
        <v>12</v>
      </c>
      <c r="C90" s="2" t="s">
        <v>30</v>
      </c>
      <c r="D90" s="47">
        <v>71000</v>
      </c>
      <c r="E90" s="47">
        <v>365195.69</v>
      </c>
      <c r="F90" s="47">
        <v>79000</v>
      </c>
      <c r="G90" s="47">
        <v>399621.93</v>
      </c>
      <c r="H90" s="47">
        <v>56000</v>
      </c>
      <c r="I90" s="106">
        <v>281460.12</v>
      </c>
      <c r="J90" s="47">
        <v>56000</v>
      </c>
      <c r="K90" s="47">
        <v>275521.69</v>
      </c>
      <c r="L90" s="47">
        <v>64000</v>
      </c>
      <c r="M90" s="47">
        <v>331783.77</v>
      </c>
      <c r="N90" s="47">
        <v>84000</v>
      </c>
      <c r="O90" s="47">
        <v>423726.18</v>
      </c>
      <c r="P90" s="47">
        <v>71000</v>
      </c>
      <c r="Q90" s="47">
        <v>373173.52</v>
      </c>
      <c r="R90" s="47">
        <v>80000</v>
      </c>
      <c r="S90" s="47">
        <v>394990.19</v>
      </c>
      <c r="T90" s="47">
        <v>64000</v>
      </c>
      <c r="U90" s="47">
        <v>315053.71999999997</v>
      </c>
      <c r="V90" s="47">
        <v>76000</v>
      </c>
      <c r="W90" s="49">
        <v>365713.68</v>
      </c>
      <c r="X90" s="47">
        <v>82000</v>
      </c>
      <c r="Y90" s="49">
        <v>389178.6</v>
      </c>
      <c r="Z90" s="47">
        <v>79000</v>
      </c>
      <c r="AA90" s="49">
        <v>380915.32</v>
      </c>
      <c r="AB90" s="2">
        <f t="shared" si="8"/>
        <v>862000</v>
      </c>
      <c r="AC90" s="2">
        <f t="shared" si="9"/>
        <v>4296334.41</v>
      </c>
    </row>
    <row r="91" spans="1:29" customFormat="1" x14ac:dyDescent="0.35">
      <c r="A91" s="36">
        <v>15</v>
      </c>
      <c r="B91" s="8" t="s">
        <v>13</v>
      </c>
      <c r="C91" s="2" t="s">
        <v>31</v>
      </c>
      <c r="D91" s="47">
        <v>190000</v>
      </c>
      <c r="E91" s="47">
        <v>835667.15</v>
      </c>
      <c r="F91" s="47">
        <v>191000</v>
      </c>
      <c r="G91" s="47">
        <v>839431.05</v>
      </c>
      <c r="H91" s="47">
        <v>163000</v>
      </c>
      <c r="I91" s="47">
        <v>700031.76</v>
      </c>
      <c r="J91" s="47">
        <v>155000</v>
      </c>
      <c r="K91" s="47">
        <v>669272.51</v>
      </c>
      <c r="L91" s="47">
        <v>168000</v>
      </c>
      <c r="M91" s="47">
        <v>737494.34</v>
      </c>
      <c r="N91" s="47">
        <v>195000</v>
      </c>
      <c r="O91" s="47">
        <v>865137.1</v>
      </c>
      <c r="P91" s="47">
        <v>190000</v>
      </c>
      <c r="Q91" s="47">
        <v>840536.26</v>
      </c>
      <c r="R91" s="47">
        <v>197000</v>
      </c>
      <c r="S91" s="47">
        <v>832026.45</v>
      </c>
      <c r="T91" s="47">
        <v>168000</v>
      </c>
      <c r="U91" s="47">
        <v>696900.48</v>
      </c>
      <c r="V91" s="47">
        <v>187000</v>
      </c>
      <c r="W91" s="49">
        <v>787234.18</v>
      </c>
      <c r="X91" s="47">
        <v>197000</v>
      </c>
      <c r="Y91" s="49">
        <v>829640.46</v>
      </c>
      <c r="Z91" s="47">
        <v>188000</v>
      </c>
      <c r="AA91" s="49">
        <v>802490.52</v>
      </c>
      <c r="AB91" s="2">
        <f t="shared" si="8"/>
        <v>2189000</v>
      </c>
      <c r="AC91" s="2">
        <f t="shared" si="9"/>
        <v>9435862.2599999979</v>
      </c>
    </row>
    <row r="92" spans="1:29" customFormat="1" x14ac:dyDescent="0.35">
      <c r="A92" s="36">
        <v>16</v>
      </c>
      <c r="B92" s="8" t="s">
        <v>14</v>
      </c>
      <c r="C92" s="2" t="s">
        <v>35</v>
      </c>
      <c r="D92" s="47">
        <v>1072</v>
      </c>
      <c r="E92" s="47">
        <v>5321.3</v>
      </c>
      <c r="F92" s="47">
        <v>1212</v>
      </c>
      <c r="G92" s="49">
        <v>6043.18</v>
      </c>
      <c r="H92" s="47">
        <v>1400</v>
      </c>
      <c r="I92" s="47">
        <v>7012.54</v>
      </c>
      <c r="J92" s="47">
        <v>1992</v>
      </c>
      <c r="K92" s="47">
        <v>10001.09</v>
      </c>
      <c r="L92" s="47">
        <v>2224</v>
      </c>
      <c r="M92" s="47">
        <v>11189.88</v>
      </c>
      <c r="N92" s="47">
        <v>2213</v>
      </c>
      <c r="O92" s="47">
        <v>11133.51</v>
      </c>
      <c r="P92" s="47">
        <v>2140</v>
      </c>
      <c r="Q92" s="47">
        <v>10759.46</v>
      </c>
      <c r="R92" s="47">
        <v>1818</v>
      </c>
      <c r="S92" s="47">
        <v>8778.7900000000009</v>
      </c>
      <c r="T92" s="47">
        <v>1123</v>
      </c>
      <c r="U92" s="47">
        <v>5343.95</v>
      </c>
      <c r="V92" s="47">
        <v>1271</v>
      </c>
      <c r="W92" s="47">
        <v>6075.4</v>
      </c>
      <c r="X92" s="47">
        <v>2180</v>
      </c>
      <c r="Y92" s="106">
        <v>10567.89</v>
      </c>
      <c r="Z92" s="47">
        <v>1913</v>
      </c>
      <c r="AA92" s="47">
        <v>9166.42</v>
      </c>
      <c r="AB92" s="2">
        <f t="shared" si="8"/>
        <v>20558</v>
      </c>
      <c r="AC92" s="2">
        <f t="shared" si="9"/>
        <v>101393.40999999999</v>
      </c>
    </row>
    <row r="93" spans="1:29" customFormat="1" x14ac:dyDescent="0.35">
      <c r="A93" s="36">
        <v>17</v>
      </c>
      <c r="B93" s="8" t="s">
        <v>15</v>
      </c>
      <c r="C93" s="2" t="s">
        <v>32</v>
      </c>
      <c r="D93" s="47">
        <v>45000</v>
      </c>
      <c r="E93" s="47">
        <v>205035.41</v>
      </c>
      <c r="F93" s="47">
        <v>44000</v>
      </c>
      <c r="G93" s="47">
        <v>203389.03</v>
      </c>
      <c r="H93" s="47">
        <v>38000</v>
      </c>
      <c r="I93" s="47">
        <v>167878.27</v>
      </c>
      <c r="J93" s="47">
        <v>34000</v>
      </c>
      <c r="K93" s="47">
        <v>154638.19</v>
      </c>
      <c r="L93" s="47">
        <v>37000</v>
      </c>
      <c r="M93" s="47">
        <v>169421.47</v>
      </c>
      <c r="N93" s="47">
        <v>46000</v>
      </c>
      <c r="O93" s="47">
        <v>210025.17</v>
      </c>
      <c r="P93" s="47">
        <v>47000</v>
      </c>
      <c r="Q93" s="47">
        <v>215622.03</v>
      </c>
      <c r="R93" s="47">
        <v>52000</v>
      </c>
      <c r="S93" s="47">
        <v>223748.36</v>
      </c>
      <c r="T93" s="47">
        <v>45000</v>
      </c>
      <c r="U93" s="47">
        <v>195279.18</v>
      </c>
      <c r="V93" s="47">
        <v>45000</v>
      </c>
      <c r="W93" s="47">
        <v>197412.71</v>
      </c>
      <c r="X93" s="47">
        <v>51000</v>
      </c>
      <c r="Y93" s="47">
        <v>217496</v>
      </c>
      <c r="Z93" s="47">
        <v>49000</v>
      </c>
      <c r="AA93" s="47">
        <v>211522.39</v>
      </c>
      <c r="AB93" s="2">
        <f t="shared" si="8"/>
        <v>533000</v>
      </c>
      <c r="AC93" s="2">
        <f t="shared" si="9"/>
        <v>2371468.2099999995</v>
      </c>
    </row>
    <row r="94" spans="1:29" x14ac:dyDescent="0.35">
      <c r="A94" s="36">
        <v>18</v>
      </c>
      <c r="B94" s="8" t="s">
        <v>16</v>
      </c>
      <c r="C94" s="2" t="s">
        <v>33</v>
      </c>
      <c r="D94" s="47">
        <v>114000</v>
      </c>
      <c r="E94" s="47">
        <v>570586.82999999996</v>
      </c>
      <c r="F94" s="47">
        <v>117000</v>
      </c>
      <c r="G94" s="47">
        <v>571242.9</v>
      </c>
      <c r="H94" s="47">
        <v>88000</v>
      </c>
      <c r="I94" s="47">
        <v>436533.79</v>
      </c>
      <c r="J94" s="47">
        <v>88000</v>
      </c>
      <c r="K94" s="47">
        <v>423277.8</v>
      </c>
      <c r="L94" s="47">
        <v>97000</v>
      </c>
      <c r="M94" s="47">
        <v>471309.75</v>
      </c>
      <c r="N94" s="47">
        <v>116000</v>
      </c>
      <c r="O94" s="47">
        <v>565604.46</v>
      </c>
      <c r="P94" s="47">
        <v>114000</v>
      </c>
      <c r="Q94" s="47">
        <v>561997.22</v>
      </c>
      <c r="R94" s="47">
        <v>115000</v>
      </c>
      <c r="S94" s="47">
        <v>536466.67000000004</v>
      </c>
      <c r="T94" s="47">
        <v>97000</v>
      </c>
      <c r="U94" s="47">
        <v>461630.61</v>
      </c>
      <c r="V94" s="47">
        <v>96000</v>
      </c>
      <c r="W94" s="47">
        <v>457654.01</v>
      </c>
      <c r="X94" s="47">
        <v>121000</v>
      </c>
      <c r="Y94" s="47">
        <v>556944.65</v>
      </c>
      <c r="Z94" s="47">
        <v>119000</v>
      </c>
      <c r="AA94" s="47">
        <v>553079.5</v>
      </c>
      <c r="AB94" s="2">
        <f t="shared" si="8"/>
        <v>1282000</v>
      </c>
      <c r="AC94" s="2">
        <f t="shared" si="9"/>
        <v>6166328.1900000004</v>
      </c>
    </row>
    <row r="95" spans="1:29" x14ac:dyDescent="0.35">
      <c r="A95" s="36">
        <v>19</v>
      </c>
      <c r="B95" s="8" t="s">
        <v>17</v>
      </c>
      <c r="C95" s="2" t="s">
        <v>34</v>
      </c>
      <c r="D95" s="47">
        <v>174000</v>
      </c>
      <c r="E95" s="47">
        <v>843205.43</v>
      </c>
      <c r="F95" s="47">
        <v>181000</v>
      </c>
      <c r="G95" s="47">
        <v>868194.38</v>
      </c>
      <c r="H95" s="47">
        <v>129000</v>
      </c>
      <c r="I95" s="47">
        <v>610108.78</v>
      </c>
      <c r="J95" s="47">
        <v>119000</v>
      </c>
      <c r="K95" s="47">
        <v>574351.67000000004</v>
      </c>
      <c r="L95" s="47">
        <v>143000</v>
      </c>
      <c r="M95" s="47">
        <v>694655.4</v>
      </c>
      <c r="N95" s="47">
        <v>177000</v>
      </c>
      <c r="O95" s="47">
        <v>843726.97</v>
      </c>
      <c r="P95" s="47">
        <v>173000</v>
      </c>
      <c r="Q95" s="47">
        <v>821878.29</v>
      </c>
      <c r="R95" s="47">
        <v>176000</v>
      </c>
      <c r="S95" s="47">
        <v>805612.63</v>
      </c>
      <c r="T95" s="47">
        <v>151000</v>
      </c>
      <c r="U95" s="47">
        <v>688051.87</v>
      </c>
      <c r="V95" s="47">
        <v>172000</v>
      </c>
      <c r="W95" s="47">
        <v>766632.12</v>
      </c>
      <c r="X95" s="47">
        <v>177000</v>
      </c>
      <c r="Y95" s="47">
        <v>812227.67</v>
      </c>
      <c r="Z95" s="47">
        <v>169000</v>
      </c>
      <c r="AA95" s="47">
        <v>782962.04</v>
      </c>
      <c r="AB95" s="2">
        <f t="shared" si="8"/>
        <v>1941000</v>
      </c>
      <c r="AC95" s="2">
        <f t="shared" si="9"/>
        <v>9111607.25</v>
      </c>
    </row>
    <row r="96" spans="1:29" x14ac:dyDescent="0.35">
      <c r="A96" s="36">
        <v>20</v>
      </c>
      <c r="B96" s="8" t="s">
        <v>18</v>
      </c>
      <c r="C96" s="2" t="s">
        <v>36</v>
      </c>
      <c r="D96" s="47">
        <v>163000</v>
      </c>
      <c r="E96" s="47">
        <v>815898.03</v>
      </c>
      <c r="F96" s="47">
        <v>164000</v>
      </c>
      <c r="G96" s="47">
        <v>796321.19</v>
      </c>
      <c r="H96" s="47">
        <v>105000</v>
      </c>
      <c r="I96" s="47">
        <v>518649.74</v>
      </c>
      <c r="J96" s="47">
        <v>112000</v>
      </c>
      <c r="K96" s="47">
        <v>543044.6</v>
      </c>
      <c r="L96" s="47">
        <v>140000</v>
      </c>
      <c r="M96" s="47">
        <v>698188.43</v>
      </c>
      <c r="N96" s="47">
        <v>180000</v>
      </c>
      <c r="O96" s="107">
        <v>864594.35</v>
      </c>
      <c r="P96" s="47">
        <v>161000</v>
      </c>
      <c r="Q96" s="47">
        <v>792931.02</v>
      </c>
      <c r="R96" s="47">
        <v>167000</v>
      </c>
      <c r="S96" s="47">
        <v>775953.5</v>
      </c>
      <c r="T96" s="47">
        <v>123000</v>
      </c>
      <c r="U96" s="47">
        <v>552935.93000000005</v>
      </c>
      <c r="V96" s="106">
        <v>129000</v>
      </c>
      <c r="W96" s="47">
        <v>597135.16</v>
      </c>
      <c r="X96" s="106">
        <v>176000</v>
      </c>
      <c r="Y96" s="47">
        <v>833062.17</v>
      </c>
      <c r="Z96" s="47">
        <v>175000</v>
      </c>
      <c r="AA96" s="47">
        <v>806991.55</v>
      </c>
      <c r="AB96" s="2">
        <f t="shared" si="8"/>
        <v>1795000</v>
      </c>
      <c r="AC96" s="2">
        <f t="shared" si="9"/>
        <v>8595705.6699999999</v>
      </c>
    </row>
    <row r="97" spans="1:30" x14ac:dyDescent="0.35">
      <c r="A97" s="36">
        <v>21</v>
      </c>
      <c r="B97" s="29" t="s">
        <v>19</v>
      </c>
      <c r="C97" s="2" t="s">
        <v>22</v>
      </c>
      <c r="D97" s="47">
        <v>130000</v>
      </c>
      <c r="E97" s="47">
        <v>630716.79</v>
      </c>
      <c r="F97" s="47">
        <v>130000</v>
      </c>
      <c r="G97" s="47">
        <v>625722.55000000005</v>
      </c>
      <c r="H97" s="47">
        <v>103000</v>
      </c>
      <c r="I97" s="107">
        <v>481537.04</v>
      </c>
      <c r="J97" s="47">
        <v>99000</v>
      </c>
      <c r="K97" s="107">
        <v>464740.09</v>
      </c>
      <c r="L97" s="47">
        <v>108000</v>
      </c>
      <c r="M97" s="107">
        <v>515885.2</v>
      </c>
      <c r="N97" s="47">
        <v>128000</v>
      </c>
      <c r="O97" s="107">
        <v>610656.31000000006</v>
      </c>
      <c r="P97" s="47">
        <v>133000</v>
      </c>
      <c r="Q97" s="107">
        <v>642607.18000000005</v>
      </c>
      <c r="R97" s="47">
        <v>138000</v>
      </c>
      <c r="S97" s="107">
        <v>628405.06000000006</v>
      </c>
      <c r="T97" s="47">
        <v>137000</v>
      </c>
      <c r="U97" s="49">
        <v>626656.19999999995</v>
      </c>
      <c r="V97" s="47">
        <v>135000</v>
      </c>
      <c r="W97" s="107">
        <v>613756.78</v>
      </c>
      <c r="X97" s="47">
        <v>139000</v>
      </c>
      <c r="Y97" s="107">
        <v>635653.06999999995</v>
      </c>
      <c r="Z97" s="47">
        <v>130000</v>
      </c>
      <c r="AA97" s="49">
        <v>589177.36</v>
      </c>
      <c r="AB97" s="2">
        <f t="shared" si="8"/>
        <v>1510000</v>
      </c>
      <c r="AC97" s="2">
        <f t="shared" si="9"/>
        <v>7065513.6300000018</v>
      </c>
    </row>
    <row r="98" spans="1:30" x14ac:dyDescent="0.35">
      <c r="A98" s="36">
        <v>22</v>
      </c>
      <c r="B98" s="8" t="s">
        <v>20</v>
      </c>
      <c r="C98" s="2" t="s">
        <v>23</v>
      </c>
      <c r="D98" s="47">
        <v>93000</v>
      </c>
      <c r="E98" s="48">
        <v>379783.9</v>
      </c>
      <c r="F98" s="47">
        <v>94000</v>
      </c>
      <c r="G98" s="48">
        <v>380450.63</v>
      </c>
      <c r="H98" s="47">
        <v>66000</v>
      </c>
      <c r="I98" s="47">
        <v>269368.48</v>
      </c>
      <c r="J98" s="47">
        <v>58000</v>
      </c>
      <c r="K98" s="48">
        <v>240238.38</v>
      </c>
      <c r="L98" s="47">
        <v>78000</v>
      </c>
      <c r="M98" s="48">
        <v>315983.83</v>
      </c>
      <c r="N98" s="47">
        <v>104000</v>
      </c>
      <c r="O98" s="48">
        <v>417707.95</v>
      </c>
      <c r="P98" s="47">
        <v>93000</v>
      </c>
      <c r="Q98" s="48">
        <v>379106.37</v>
      </c>
      <c r="R98" s="47">
        <v>105000</v>
      </c>
      <c r="S98" s="48">
        <v>401234.38</v>
      </c>
      <c r="T98" s="47">
        <v>56000</v>
      </c>
      <c r="U98" s="48">
        <v>232102.13</v>
      </c>
      <c r="V98" s="47">
        <v>77000</v>
      </c>
      <c r="W98" s="48">
        <v>303350.19</v>
      </c>
      <c r="X98" s="47">
        <v>106000</v>
      </c>
      <c r="Y98" s="48">
        <v>414914.98</v>
      </c>
      <c r="Z98" s="47">
        <v>98000</v>
      </c>
      <c r="AA98" s="48">
        <v>378194.76</v>
      </c>
      <c r="AB98" s="2">
        <f t="shared" si="8"/>
        <v>1028000</v>
      </c>
      <c r="AC98" s="2">
        <f t="shared" si="9"/>
        <v>4112435.9799999995</v>
      </c>
    </row>
    <row r="99" spans="1:30" x14ac:dyDescent="0.35">
      <c r="A99" s="36">
        <v>23</v>
      </c>
      <c r="B99" s="30">
        <v>5701540304</v>
      </c>
      <c r="C99" s="13" t="s">
        <v>37</v>
      </c>
      <c r="D99" s="47">
        <v>101160</v>
      </c>
      <c r="E99" s="52">
        <v>469636.76</v>
      </c>
      <c r="F99" s="47">
        <v>83052</v>
      </c>
      <c r="G99" s="52">
        <v>389764.48</v>
      </c>
      <c r="H99" s="47">
        <v>62232</v>
      </c>
      <c r="I99" s="53">
        <v>289513.55</v>
      </c>
      <c r="J99" s="47">
        <v>62412</v>
      </c>
      <c r="K99" s="52">
        <v>279856.95</v>
      </c>
      <c r="L99" s="47">
        <v>82728</v>
      </c>
      <c r="M99" s="178">
        <v>387259.62</v>
      </c>
      <c r="N99" s="106">
        <v>104256</v>
      </c>
      <c r="O99" s="52">
        <v>491419.04</v>
      </c>
      <c r="P99" s="47">
        <v>88320</v>
      </c>
      <c r="Q99" s="52">
        <v>416104.75</v>
      </c>
      <c r="R99" s="47">
        <v>97032</v>
      </c>
      <c r="S99" s="52">
        <v>422601.4</v>
      </c>
      <c r="T99" s="106">
        <v>64236</v>
      </c>
      <c r="U99" s="53">
        <v>285005.05</v>
      </c>
      <c r="V99" s="53">
        <v>76644</v>
      </c>
      <c r="W99" s="53">
        <v>338978.77</v>
      </c>
      <c r="X99" s="47">
        <v>96504</v>
      </c>
      <c r="Y99" s="52">
        <v>426933.25</v>
      </c>
      <c r="Z99" s="47">
        <v>93216</v>
      </c>
      <c r="AA99" s="52">
        <v>407190.68</v>
      </c>
      <c r="AB99" s="2">
        <f t="shared" si="8"/>
        <v>1011792</v>
      </c>
      <c r="AC99" s="2">
        <f t="shared" si="9"/>
        <v>4604264.2999999989</v>
      </c>
    </row>
    <row r="100" spans="1:30" x14ac:dyDescent="0.35">
      <c r="A100" s="36">
        <v>24</v>
      </c>
      <c r="B100" s="8">
        <v>20964080</v>
      </c>
      <c r="C100" s="2" t="s">
        <v>37</v>
      </c>
      <c r="D100" s="47">
        <v>4996</v>
      </c>
      <c r="E100" s="53">
        <v>30887.45</v>
      </c>
      <c r="F100" s="47">
        <v>2488</v>
      </c>
      <c r="G100" s="52">
        <v>17535.73</v>
      </c>
      <c r="H100" s="106">
        <v>1804</v>
      </c>
      <c r="I100" s="53">
        <v>14140.31</v>
      </c>
      <c r="J100" s="47">
        <v>1804</v>
      </c>
      <c r="K100" s="53">
        <v>14418.21</v>
      </c>
      <c r="L100" s="47">
        <v>1820</v>
      </c>
      <c r="M100" s="174">
        <v>13901.28</v>
      </c>
      <c r="N100" s="47">
        <v>2032</v>
      </c>
      <c r="O100" s="53">
        <v>14864.08</v>
      </c>
      <c r="P100" s="47">
        <v>1908</v>
      </c>
      <c r="Q100" s="53">
        <v>12507.27</v>
      </c>
      <c r="R100" s="47">
        <v>1940</v>
      </c>
      <c r="S100" s="53">
        <v>9778.8700000000008</v>
      </c>
      <c r="T100" s="47">
        <v>1832</v>
      </c>
      <c r="U100" s="53">
        <v>8666.17</v>
      </c>
      <c r="V100" s="47">
        <v>1940</v>
      </c>
      <c r="W100" s="53">
        <v>8688.9599999999991</v>
      </c>
      <c r="X100" s="106">
        <v>2088</v>
      </c>
      <c r="Y100" s="47">
        <v>12962.23</v>
      </c>
      <c r="Z100" s="47">
        <v>2432</v>
      </c>
      <c r="AA100" s="53">
        <v>14551.89</v>
      </c>
      <c r="AB100" s="2">
        <f t="shared" si="8"/>
        <v>27084</v>
      </c>
      <c r="AC100" s="2">
        <f t="shared" si="9"/>
        <v>172902.45</v>
      </c>
    </row>
    <row r="101" spans="1:30" x14ac:dyDescent="0.35">
      <c r="A101" s="36">
        <v>25</v>
      </c>
      <c r="B101" s="8">
        <v>27685433</v>
      </c>
      <c r="C101" s="2" t="s">
        <v>37</v>
      </c>
      <c r="D101" s="54"/>
      <c r="E101" s="55"/>
      <c r="F101" s="56"/>
      <c r="G101" s="53"/>
      <c r="H101" s="1"/>
      <c r="I101" s="28"/>
      <c r="J101" s="47"/>
      <c r="K101" s="53"/>
      <c r="L101" s="47"/>
      <c r="M101" s="112"/>
      <c r="N101" s="47"/>
      <c r="O101" s="53"/>
      <c r="P101" s="47"/>
      <c r="Q101" s="53"/>
      <c r="R101" s="186"/>
      <c r="S101" s="47">
        <v>0</v>
      </c>
      <c r="T101" s="47">
        <v>0</v>
      </c>
      <c r="U101" s="47">
        <v>0</v>
      </c>
      <c r="V101" s="47">
        <v>0</v>
      </c>
      <c r="W101" s="47">
        <v>0</v>
      </c>
      <c r="X101" s="35"/>
      <c r="Y101" s="35"/>
      <c r="Z101" s="47"/>
      <c r="AA101" s="53"/>
      <c r="AB101" s="2">
        <f t="shared" ref="AB101:AB103" si="10">+D101+F101+H101+J101+L101+N101+P101+R101+T101+V101+X101+Z101</f>
        <v>0</v>
      </c>
      <c r="AC101" s="2">
        <f t="shared" ref="AC101:AC102" si="11">+E101+G101+I101+K101+M101+O101+Q101+S101+U101+W101+Y101+AA101</f>
        <v>0</v>
      </c>
    </row>
    <row r="102" spans="1:30" x14ac:dyDescent="0.35">
      <c r="A102" s="36">
        <v>26</v>
      </c>
      <c r="B102" s="10">
        <v>6300579652</v>
      </c>
      <c r="C102" s="2" t="s">
        <v>50</v>
      </c>
      <c r="D102" s="55"/>
      <c r="E102" s="55"/>
      <c r="F102" s="57"/>
      <c r="G102" s="55"/>
      <c r="H102" s="25"/>
      <c r="I102" s="22"/>
      <c r="J102" s="112"/>
      <c r="K102" s="53"/>
      <c r="L102" s="55"/>
      <c r="M102" s="53"/>
      <c r="N102" s="57"/>
      <c r="O102" s="53"/>
      <c r="P102" s="55"/>
      <c r="Q102" s="53"/>
      <c r="R102" s="55"/>
      <c r="S102" s="47">
        <v>0</v>
      </c>
      <c r="T102" s="47">
        <v>0</v>
      </c>
      <c r="U102" s="47">
        <v>0</v>
      </c>
      <c r="V102" s="47">
        <v>0</v>
      </c>
      <c r="W102" s="47">
        <v>0</v>
      </c>
      <c r="X102" s="43"/>
      <c r="Y102" s="28"/>
      <c r="Z102" s="55"/>
      <c r="AA102" s="55"/>
      <c r="AB102" s="2">
        <f t="shared" si="10"/>
        <v>0</v>
      </c>
      <c r="AC102" s="2">
        <f t="shared" si="11"/>
        <v>0</v>
      </c>
    </row>
    <row r="103" spans="1:30" x14ac:dyDescent="0.35">
      <c r="A103" s="36">
        <v>27</v>
      </c>
      <c r="B103" s="8">
        <v>6500729436</v>
      </c>
      <c r="C103" s="2" t="s">
        <v>37</v>
      </c>
      <c r="D103" s="48">
        <v>315.2</v>
      </c>
      <c r="E103" s="58">
        <v>1786.29</v>
      </c>
      <c r="F103" s="47">
        <v>313.60000000000002</v>
      </c>
      <c r="G103" s="52">
        <v>1778.91</v>
      </c>
      <c r="H103" s="47">
        <v>302.39999999999998</v>
      </c>
      <c r="I103" s="48">
        <v>1727.31</v>
      </c>
      <c r="J103" s="47">
        <v>309.60000000000002</v>
      </c>
      <c r="K103" s="47">
        <v>1750.55</v>
      </c>
      <c r="L103" s="47">
        <v>272</v>
      </c>
      <c r="M103" s="47">
        <v>1578.52</v>
      </c>
      <c r="N103" s="47">
        <v>156</v>
      </c>
      <c r="O103" s="47">
        <v>1047.81</v>
      </c>
      <c r="P103" s="47">
        <v>254.06</v>
      </c>
      <c r="Q103" s="47">
        <v>1496.45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v>0</v>
      </c>
      <c r="X103" s="47"/>
      <c r="Y103" s="47"/>
      <c r="Z103" s="48"/>
      <c r="AA103" s="48"/>
      <c r="AB103" s="2">
        <f t="shared" si="10"/>
        <v>1922.86</v>
      </c>
      <c r="AC103" s="2">
        <f>+E103+G103+I103+K103+M103+O103+Q103+S103+U103+W103+Y103+AA103</f>
        <v>11165.84</v>
      </c>
    </row>
    <row r="104" spans="1:30" x14ac:dyDescent="0.35">
      <c r="A104" s="184">
        <v>28</v>
      </c>
      <c r="B104" s="60">
        <v>6300579648</v>
      </c>
      <c r="C104" s="153" t="s">
        <v>37</v>
      </c>
      <c r="D104" s="53"/>
      <c r="E104" s="55"/>
      <c r="F104" s="112"/>
      <c r="G104" s="52"/>
      <c r="H104" s="112"/>
      <c r="I104" s="53"/>
      <c r="J104" s="112"/>
      <c r="K104" s="112"/>
      <c r="L104" s="112"/>
      <c r="M104" s="112"/>
      <c r="N104" s="112"/>
      <c r="O104" s="112"/>
      <c r="P104" s="112"/>
      <c r="Q104" s="185">
        <v>0</v>
      </c>
      <c r="R104" s="112">
        <v>355.95</v>
      </c>
      <c r="S104" s="112">
        <v>1897.86</v>
      </c>
      <c r="T104" s="53">
        <v>231</v>
      </c>
      <c r="U104" s="55">
        <v>1348.93</v>
      </c>
      <c r="V104" s="53">
        <v>217</v>
      </c>
      <c r="W104" s="53">
        <v>1287.42</v>
      </c>
      <c r="X104" s="112">
        <v>267</v>
      </c>
      <c r="Y104" s="112">
        <v>1507.08</v>
      </c>
      <c r="Z104" s="53"/>
      <c r="AA104" s="53"/>
      <c r="AB104" s="2">
        <f t="shared" ref="AB104" si="12">+D104+F104+H104+J104+L104+N104+P104+R104+T104+V104+X104+Z104</f>
        <v>1070.95</v>
      </c>
      <c r="AC104" s="2">
        <f>+E104+G104+I104+K104+M104+O104+Q104+S104+U104+W104+Y104+AA104</f>
        <v>6041.29</v>
      </c>
    </row>
    <row r="105" spans="1:30" x14ac:dyDescent="0.35">
      <c r="A105" s="36">
        <v>29</v>
      </c>
      <c r="B105" s="187">
        <v>6800001953</v>
      </c>
      <c r="C105" s="179" t="s">
        <v>37</v>
      </c>
      <c r="D105" s="53"/>
      <c r="E105" s="55"/>
      <c r="F105" s="112"/>
      <c r="G105" s="52"/>
      <c r="H105" s="112"/>
      <c r="I105" s="53"/>
      <c r="J105" s="112"/>
      <c r="K105" s="112"/>
      <c r="L105" s="112"/>
      <c r="M105" s="112"/>
      <c r="N105" s="112"/>
      <c r="O105" s="112"/>
      <c r="P105" s="112"/>
      <c r="Q105" s="185"/>
      <c r="R105" s="112"/>
      <c r="S105" s="112"/>
      <c r="T105" s="53"/>
      <c r="U105" s="55"/>
      <c r="V105" s="53"/>
      <c r="W105" s="53"/>
      <c r="X105" s="112"/>
      <c r="Y105" s="112"/>
      <c r="Z105" s="53">
        <v>175</v>
      </c>
      <c r="AA105" s="53">
        <v>1095.42</v>
      </c>
      <c r="AB105" s="2">
        <f t="shared" ref="AB105" si="13">+D105+F105+H105+J105+L105+N105+P105+R105+T105+V105+X105+Z105</f>
        <v>175</v>
      </c>
      <c r="AC105" s="2">
        <f>+E105+G105+I105+K105+M105+O105+Q105+S105+U105+W105+Y105+AA105</f>
        <v>1095.42</v>
      </c>
    </row>
    <row r="106" spans="1:30" ht="18.600000000000001" thickBot="1" x14ac:dyDescent="0.4">
      <c r="A106" s="9"/>
      <c r="B106" s="10" t="s">
        <v>24</v>
      </c>
      <c r="C106" s="11"/>
      <c r="D106" s="14">
        <f>SUM(D77:D104)</f>
        <v>2615664.2000000002</v>
      </c>
      <c r="E106" s="14">
        <f t="shared" ref="E106:S106" si="14">SUM(E77:E104)</f>
        <v>12129797.509999998</v>
      </c>
      <c r="F106" s="14">
        <f t="shared" si="14"/>
        <v>2618918.6</v>
      </c>
      <c r="G106" s="14">
        <f t="shared" si="14"/>
        <v>12056099.220000003</v>
      </c>
      <c r="H106" s="14">
        <f t="shared" si="14"/>
        <v>2031785.4</v>
      </c>
      <c r="I106" s="14">
        <f t="shared" si="14"/>
        <v>9163327.3000000007</v>
      </c>
      <c r="J106" s="14">
        <f t="shared" si="14"/>
        <v>1964255.6</v>
      </c>
      <c r="K106" s="14">
        <f t="shared" si="14"/>
        <v>8915799.1500000022</v>
      </c>
      <c r="L106" s="14">
        <f t="shared" si="14"/>
        <v>2251449</v>
      </c>
      <c r="M106" s="14">
        <f t="shared" si="14"/>
        <v>10361146.389999997</v>
      </c>
      <c r="N106" s="14">
        <f t="shared" si="14"/>
        <v>2717534</v>
      </c>
      <c r="O106" s="14">
        <f t="shared" si="14"/>
        <v>12719583.479999999</v>
      </c>
      <c r="P106" s="14">
        <f t="shared" si="14"/>
        <v>2476640.06</v>
      </c>
      <c r="Q106" s="14">
        <f t="shared" si="14"/>
        <v>12866091.239999996</v>
      </c>
      <c r="R106" s="14">
        <f t="shared" si="14"/>
        <v>2684105.9500000002</v>
      </c>
      <c r="S106" s="14">
        <f t="shared" si="14"/>
        <v>11741923.380000003</v>
      </c>
      <c r="T106" s="14">
        <f t="shared" ref="T106" si="15">SUM(T77:T104)</f>
        <v>2316979</v>
      </c>
      <c r="U106" s="14">
        <f t="shared" ref="U106" si="16">SUM(U77:U104)</f>
        <v>10189305.419999998</v>
      </c>
      <c r="V106" s="14">
        <f t="shared" ref="V106" si="17">SUM(V77:V104)</f>
        <v>2484225</v>
      </c>
      <c r="W106" s="14">
        <f t="shared" ref="W106" si="18">SUM(W77:W104)</f>
        <v>10836087.179999998</v>
      </c>
      <c r="X106" s="14">
        <f t="shared" ref="X106" si="19">SUM(X77:X104)</f>
        <v>2765862</v>
      </c>
      <c r="Y106" s="14">
        <f t="shared" ref="Y106" si="20">SUM(Y77:Y104)</f>
        <v>12073494.210000001</v>
      </c>
      <c r="Z106" s="14">
        <f>SUM(Z77:Z105)</f>
        <v>2691507</v>
      </c>
      <c r="AA106" s="14">
        <f t="shared" ref="AA106:AC106" si="21">SUM(AA77:AA105)</f>
        <v>11769973.739999998</v>
      </c>
      <c r="AB106" s="14">
        <f t="shared" si="21"/>
        <v>29618925.809999999</v>
      </c>
      <c r="AC106" s="14">
        <f t="shared" si="21"/>
        <v>134822628.21999997</v>
      </c>
    </row>
    <row r="107" spans="1:30" ht="18.600000000000001" thickTop="1" x14ac:dyDescent="0.35">
      <c r="AB107" s="15"/>
      <c r="AC107" s="15"/>
    </row>
    <row r="108" spans="1:30" x14ac:dyDescent="0.35">
      <c r="AA108" s="3" t="s">
        <v>24</v>
      </c>
      <c r="AB108" s="119">
        <f>+AB109+AB110+AB111+AB112</f>
        <v>29618925.809999999</v>
      </c>
      <c r="AC108" s="119">
        <f>+AC109+AC110+AC111+AC112</f>
        <v>134822628.22</v>
      </c>
    </row>
    <row r="109" spans="1:30" x14ac:dyDescent="0.35">
      <c r="AA109" s="3" t="s">
        <v>91</v>
      </c>
      <c r="AB109" s="118">
        <v>18366273</v>
      </c>
      <c r="AC109" s="118">
        <v>85841965.549999997</v>
      </c>
    </row>
    <row r="110" spans="1:30" x14ac:dyDescent="0.35">
      <c r="AA110" s="3" t="s">
        <v>21</v>
      </c>
      <c r="AB110" s="118">
        <v>8697000</v>
      </c>
      <c r="AC110" s="118">
        <v>37044879.270000003</v>
      </c>
    </row>
    <row r="111" spans="1:30" x14ac:dyDescent="0.35">
      <c r="AA111" s="3" t="s">
        <v>37</v>
      </c>
      <c r="AB111" s="118">
        <v>1042044.81</v>
      </c>
      <c r="AC111" s="3">
        <v>4795469.3</v>
      </c>
    </row>
    <row r="112" spans="1:30" x14ac:dyDescent="0.35">
      <c r="AA112" s="3" t="s">
        <v>22</v>
      </c>
      <c r="AB112" s="118">
        <v>1513608</v>
      </c>
      <c r="AC112" s="118">
        <v>7140314.0999999996</v>
      </c>
      <c r="AD112" s="118"/>
    </row>
    <row r="113" spans="1:29" ht="21" customHeight="1" x14ac:dyDescent="0.35">
      <c r="AB113" s="118"/>
      <c r="AC113" s="118"/>
    </row>
    <row r="115" spans="1:29" x14ac:dyDescent="0.35">
      <c r="A115" s="199" t="s">
        <v>113</v>
      </c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  <c r="AB115" s="199"/>
      <c r="AC115" s="5"/>
    </row>
    <row r="116" spans="1:29" x14ac:dyDescent="0.35">
      <c r="A116" s="200" t="s">
        <v>0</v>
      </c>
      <c r="B116" s="200" t="s">
        <v>1</v>
      </c>
      <c r="C116" s="202" t="s">
        <v>2</v>
      </c>
      <c r="D116" s="197" t="s">
        <v>114</v>
      </c>
      <c r="E116" s="198"/>
      <c r="F116" s="197" t="s">
        <v>115</v>
      </c>
      <c r="G116" s="198"/>
      <c r="H116" s="197" t="s">
        <v>116</v>
      </c>
      <c r="I116" s="198"/>
      <c r="J116" s="197" t="s">
        <v>117</v>
      </c>
      <c r="K116" s="198"/>
      <c r="L116" s="197" t="s">
        <v>118</v>
      </c>
      <c r="M116" s="198"/>
      <c r="N116" s="197" t="s">
        <v>119</v>
      </c>
      <c r="O116" s="198"/>
      <c r="P116" s="197" t="s">
        <v>120</v>
      </c>
      <c r="Q116" s="198"/>
      <c r="R116" s="197" t="s">
        <v>121</v>
      </c>
      <c r="S116" s="198"/>
      <c r="T116" s="197" t="s">
        <v>122</v>
      </c>
      <c r="U116" s="198"/>
      <c r="V116" s="197" t="s">
        <v>123</v>
      </c>
      <c r="W116" s="198"/>
      <c r="X116" s="197" t="s">
        <v>124</v>
      </c>
      <c r="Y116" s="198"/>
      <c r="Z116" s="197" t="s">
        <v>125</v>
      </c>
      <c r="AA116" s="198"/>
      <c r="AB116" s="195" t="s">
        <v>24</v>
      </c>
      <c r="AC116" s="196"/>
    </row>
    <row r="117" spans="1:29" x14ac:dyDescent="0.35">
      <c r="A117" s="201"/>
      <c r="B117" s="201"/>
      <c r="C117" s="203"/>
      <c r="D117" s="6" t="s">
        <v>3</v>
      </c>
      <c r="E117" s="6" t="s">
        <v>39</v>
      </c>
      <c r="F117" s="6" t="s">
        <v>3</v>
      </c>
      <c r="G117" s="6" t="s">
        <v>39</v>
      </c>
      <c r="H117" s="6" t="s">
        <v>3</v>
      </c>
      <c r="I117" s="6" t="s">
        <v>39</v>
      </c>
      <c r="J117" s="6" t="s">
        <v>3</v>
      </c>
      <c r="K117" s="6" t="s">
        <v>39</v>
      </c>
      <c r="L117" s="6" t="s">
        <v>3</v>
      </c>
      <c r="M117" s="6" t="s">
        <v>39</v>
      </c>
      <c r="N117" s="6" t="s">
        <v>3</v>
      </c>
      <c r="O117" s="6" t="s">
        <v>39</v>
      </c>
      <c r="P117" s="6" t="s">
        <v>3</v>
      </c>
      <c r="Q117" s="6" t="s">
        <v>39</v>
      </c>
      <c r="R117" s="6" t="s">
        <v>3</v>
      </c>
      <c r="S117" s="6" t="s">
        <v>39</v>
      </c>
      <c r="T117" s="6" t="s">
        <v>3</v>
      </c>
      <c r="U117" s="6" t="s">
        <v>39</v>
      </c>
      <c r="V117" s="6" t="s">
        <v>3</v>
      </c>
      <c r="W117" s="6" t="s">
        <v>39</v>
      </c>
      <c r="X117" s="6" t="s">
        <v>3</v>
      </c>
      <c r="Y117" s="6" t="s">
        <v>39</v>
      </c>
      <c r="Z117" s="6" t="s">
        <v>3</v>
      </c>
      <c r="AA117" s="6" t="s">
        <v>39</v>
      </c>
      <c r="AB117" s="6" t="s">
        <v>3</v>
      </c>
      <c r="AC117" s="6" t="s">
        <v>39</v>
      </c>
    </row>
    <row r="118" spans="1:29" x14ac:dyDescent="0.35">
      <c r="A118" s="36">
        <v>1</v>
      </c>
      <c r="B118" s="37" t="s">
        <v>42</v>
      </c>
      <c r="C118" s="38" t="s">
        <v>43</v>
      </c>
      <c r="D118" s="46">
        <v>1979</v>
      </c>
      <c r="E118" s="46">
        <v>6842.12</v>
      </c>
      <c r="F118" s="46">
        <v>1769</v>
      </c>
      <c r="G118" s="46">
        <v>6151.53</v>
      </c>
      <c r="H118" s="46">
        <v>1410</v>
      </c>
      <c r="I118" s="46">
        <v>4970.9399999999996</v>
      </c>
      <c r="J118" s="46">
        <v>1495</v>
      </c>
      <c r="K118" s="46">
        <v>5154.4799999999996</v>
      </c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107"/>
      <c r="W118" s="120"/>
      <c r="X118" s="46"/>
      <c r="Y118" s="46"/>
      <c r="Z118" s="46"/>
      <c r="AA118" s="46"/>
      <c r="AB118" s="2">
        <f>+D118+F118+H118+J118+L118+N118+P118+R118+T118+V118+X118+Z118</f>
        <v>6653</v>
      </c>
      <c r="AC118" s="2">
        <f>+E118+G118+I118+K118+M118+O118+Q118+S118+U118+W118+Y118+AA118</f>
        <v>23119.07</v>
      </c>
    </row>
    <row r="119" spans="1:29" x14ac:dyDescent="0.35">
      <c r="A119" s="36">
        <v>2</v>
      </c>
      <c r="B119" s="37" t="s">
        <v>44</v>
      </c>
      <c r="C119" s="38" t="s">
        <v>45</v>
      </c>
      <c r="D119" s="46">
        <v>1843</v>
      </c>
      <c r="E119" s="46">
        <v>37734.300000000003</v>
      </c>
      <c r="F119" s="46">
        <v>1524</v>
      </c>
      <c r="G119" s="46">
        <v>48044.77</v>
      </c>
      <c r="H119" s="46">
        <v>773</v>
      </c>
      <c r="I119" s="46">
        <v>33698.82</v>
      </c>
      <c r="J119" s="46">
        <v>526</v>
      </c>
      <c r="K119" s="46">
        <v>29487.46</v>
      </c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107"/>
      <c r="W119" s="120"/>
      <c r="X119" s="46"/>
      <c r="Y119" s="46"/>
      <c r="Z119" s="46"/>
      <c r="AA119" s="46"/>
      <c r="AB119" s="2">
        <f t="shared" ref="AB119:AB146" si="22">+D119+F119+H119+J119+L119+N119+P119+R119+T119+V119+X119+Z119</f>
        <v>4666</v>
      </c>
      <c r="AC119" s="2">
        <f t="shared" ref="AC119:AC124" si="23">+E119+G119+I119+K119+M119+O119+Q119+S119+U119+W119+Y119+AA119</f>
        <v>148965.35</v>
      </c>
    </row>
    <row r="120" spans="1:29" x14ac:dyDescent="0.35">
      <c r="A120" s="36">
        <v>3</v>
      </c>
      <c r="B120" s="114" t="s">
        <v>94</v>
      </c>
      <c r="C120" s="115" t="s">
        <v>95</v>
      </c>
      <c r="D120" s="46">
        <v>286</v>
      </c>
      <c r="E120" s="46">
        <v>6044.64</v>
      </c>
      <c r="F120" s="46">
        <v>371</v>
      </c>
      <c r="G120" s="46">
        <v>5587.07</v>
      </c>
      <c r="H120" s="46">
        <v>418</v>
      </c>
      <c r="I120" s="46">
        <v>5594.98</v>
      </c>
      <c r="J120" s="46">
        <v>403</v>
      </c>
      <c r="K120" s="46">
        <v>5566.58</v>
      </c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107"/>
      <c r="W120" s="120"/>
      <c r="X120" s="46"/>
      <c r="Y120" s="46"/>
      <c r="Z120" s="46"/>
      <c r="AA120" s="46"/>
      <c r="AB120" s="2">
        <f t="shared" si="22"/>
        <v>1478</v>
      </c>
      <c r="AC120" s="2">
        <f t="shared" si="23"/>
        <v>22793.269999999997</v>
      </c>
    </row>
    <row r="121" spans="1:29" x14ac:dyDescent="0.35">
      <c r="A121" s="36">
        <v>4</v>
      </c>
      <c r="B121" s="8" t="s">
        <v>4</v>
      </c>
      <c r="C121" s="2" t="s">
        <v>25</v>
      </c>
      <c r="D121" s="47">
        <v>87000</v>
      </c>
      <c r="E121" s="48">
        <v>389219.25</v>
      </c>
      <c r="F121" s="47">
        <v>75000</v>
      </c>
      <c r="G121" s="48">
        <v>376354.49</v>
      </c>
      <c r="H121" s="47">
        <v>70000</v>
      </c>
      <c r="I121" s="48">
        <v>307093.46000000002</v>
      </c>
      <c r="J121" s="47">
        <v>72000</v>
      </c>
      <c r="K121" s="48">
        <v>318271.81</v>
      </c>
      <c r="L121" s="47"/>
      <c r="M121" s="48"/>
      <c r="N121" s="47"/>
      <c r="O121" s="48"/>
      <c r="P121" s="47"/>
      <c r="Q121" s="48"/>
      <c r="R121" s="47"/>
      <c r="S121" s="48"/>
      <c r="T121" s="47"/>
      <c r="U121" s="48"/>
      <c r="V121" s="47"/>
      <c r="W121" s="48"/>
      <c r="X121" s="47"/>
      <c r="Y121" s="48"/>
      <c r="Z121" s="47"/>
      <c r="AA121" s="48"/>
      <c r="AB121" s="2">
        <f t="shared" si="22"/>
        <v>304000</v>
      </c>
      <c r="AC121" s="2">
        <f t="shared" si="23"/>
        <v>1390939.01</v>
      </c>
    </row>
    <row r="122" spans="1:29" x14ac:dyDescent="0.35">
      <c r="A122" s="36">
        <v>5</v>
      </c>
      <c r="B122" s="8" t="s">
        <v>5</v>
      </c>
      <c r="C122" s="2" t="s">
        <v>48</v>
      </c>
      <c r="D122" s="47">
        <v>212000</v>
      </c>
      <c r="E122" s="48">
        <v>936459.12</v>
      </c>
      <c r="F122" s="47">
        <v>179000</v>
      </c>
      <c r="G122" s="49">
        <v>815664.85</v>
      </c>
      <c r="H122" s="47">
        <v>152000</v>
      </c>
      <c r="I122" s="48">
        <v>650518.86</v>
      </c>
      <c r="J122" s="47">
        <v>159000</v>
      </c>
      <c r="K122" s="48">
        <v>700908.41</v>
      </c>
      <c r="L122" s="47"/>
      <c r="M122" s="48"/>
      <c r="N122" s="47"/>
      <c r="O122" s="48"/>
      <c r="P122" s="47"/>
      <c r="Q122" s="48"/>
      <c r="R122" s="47"/>
      <c r="S122" s="48"/>
      <c r="T122" s="47"/>
      <c r="U122" s="48"/>
      <c r="V122" s="47"/>
      <c r="W122" s="48"/>
      <c r="X122" s="47"/>
      <c r="Y122" s="106"/>
      <c r="Z122" s="47"/>
      <c r="AA122" s="48"/>
      <c r="AB122" s="2">
        <f t="shared" si="22"/>
        <v>702000</v>
      </c>
      <c r="AC122" s="2">
        <f t="shared" si="23"/>
        <v>3103551.24</v>
      </c>
    </row>
    <row r="123" spans="1:29" x14ac:dyDescent="0.35">
      <c r="A123" s="36">
        <v>6</v>
      </c>
      <c r="B123" s="8" t="s">
        <v>6</v>
      </c>
      <c r="C123" s="2" t="s">
        <v>49</v>
      </c>
      <c r="D123" s="47">
        <v>162000</v>
      </c>
      <c r="E123" s="48">
        <v>718618.55</v>
      </c>
      <c r="F123" s="47">
        <v>138000</v>
      </c>
      <c r="G123" s="48">
        <v>634083.73</v>
      </c>
      <c r="H123" s="47">
        <v>135000</v>
      </c>
      <c r="I123" s="48">
        <v>626958.25</v>
      </c>
      <c r="J123" s="47">
        <v>144000</v>
      </c>
      <c r="K123" s="48">
        <v>665824.61</v>
      </c>
      <c r="L123" s="47"/>
      <c r="M123" s="48"/>
      <c r="N123" s="47"/>
      <c r="O123" s="48"/>
      <c r="P123" s="47"/>
      <c r="Q123" s="48"/>
      <c r="R123" s="47"/>
      <c r="S123" s="48"/>
      <c r="T123" s="47"/>
      <c r="U123" s="48"/>
      <c r="V123" s="106"/>
      <c r="W123" s="48"/>
      <c r="X123" s="47"/>
      <c r="Y123" s="48"/>
      <c r="Z123" s="47"/>
      <c r="AA123" s="48"/>
      <c r="AB123" s="2">
        <f t="shared" si="22"/>
        <v>579000</v>
      </c>
      <c r="AC123" s="2">
        <f t="shared" si="23"/>
        <v>2645485.14</v>
      </c>
    </row>
    <row r="124" spans="1:29" x14ac:dyDescent="0.35">
      <c r="A124" s="36">
        <v>7</v>
      </c>
      <c r="B124" s="8" t="s">
        <v>7</v>
      </c>
      <c r="C124" s="2" t="s">
        <v>21</v>
      </c>
      <c r="D124" s="47">
        <v>285000</v>
      </c>
      <c r="E124" s="49">
        <v>1213611.3999999999</v>
      </c>
      <c r="F124" s="47">
        <v>630000</v>
      </c>
      <c r="G124" s="49">
        <v>2517624.44</v>
      </c>
      <c r="H124" s="47">
        <v>614000</v>
      </c>
      <c r="I124" s="47">
        <v>2388348.33</v>
      </c>
      <c r="J124" s="47">
        <v>654000</v>
      </c>
      <c r="K124" s="47">
        <v>2526717.73</v>
      </c>
      <c r="L124" s="47"/>
      <c r="M124" s="47"/>
      <c r="N124" s="47"/>
      <c r="O124" s="49"/>
      <c r="P124" s="47"/>
      <c r="Q124" s="47"/>
      <c r="R124" s="47"/>
      <c r="S124" s="47"/>
      <c r="T124" s="107"/>
      <c r="U124" s="120"/>
      <c r="V124" s="121"/>
      <c r="W124" s="107"/>
      <c r="X124" s="47"/>
      <c r="Y124" s="48"/>
      <c r="Z124" s="47"/>
      <c r="AA124" s="167"/>
      <c r="AB124" s="2">
        <f t="shared" si="22"/>
        <v>2183000</v>
      </c>
      <c r="AC124" s="2">
        <f t="shared" si="23"/>
        <v>8646301.9000000004</v>
      </c>
    </row>
    <row r="125" spans="1:29" x14ac:dyDescent="0.35">
      <c r="A125" s="36">
        <v>8</v>
      </c>
      <c r="B125" s="8" t="s">
        <v>46</v>
      </c>
      <c r="C125" s="2" t="s">
        <v>93</v>
      </c>
      <c r="D125" s="47"/>
      <c r="E125" s="49"/>
      <c r="F125" s="50"/>
      <c r="G125" s="51"/>
      <c r="H125" s="2"/>
      <c r="I125" s="2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2"/>
      <c r="Y125" s="42"/>
      <c r="Z125" s="168"/>
      <c r="AA125" s="168"/>
      <c r="AB125" s="2">
        <f t="shared" si="22"/>
        <v>0</v>
      </c>
      <c r="AC125" s="2">
        <f>+E125+G125+I125+K125+M125+O125+Q125+S125+U125+W125+Y125+AA125</f>
        <v>0</v>
      </c>
    </row>
    <row r="126" spans="1:29" x14ac:dyDescent="0.35">
      <c r="A126" s="36">
        <v>9</v>
      </c>
      <c r="B126" s="8">
        <v>97447915</v>
      </c>
      <c r="C126" s="47" t="s">
        <v>112</v>
      </c>
      <c r="D126" s="47">
        <v>479000</v>
      </c>
      <c r="E126" s="49">
        <v>3567055.04</v>
      </c>
      <c r="F126" s="50">
        <v>0</v>
      </c>
      <c r="G126" s="51">
        <v>0</v>
      </c>
      <c r="H126" s="50">
        <v>0</v>
      </c>
      <c r="I126" s="51">
        <v>0</v>
      </c>
      <c r="J126" s="47"/>
      <c r="K126" s="47"/>
      <c r="L126" s="47"/>
      <c r="M126" s="47"/>
      <c r="N126" s="47"/>
      <c r="O126" s="47"/>
      <c r="P126" s="182"/>
      <c r="Q126" s="107"/>
      <c r="R126" s="47"/>
      <c r="S126" s="47"/>
      <c r="T126" s="47"/>
      <c r="U126" s="47"/>
      <c r="V126" s="47"/>
      <c r="W126" s="47"/>
      <c r="X126" s="42"/>
      <c r="Y126" s="42"/>
      <c r="Z126" s="168"/>
      <c r="AA126" s="168"/>
      <c r="AB126" s="2">
        <f t="shared" si="22"/>
        <v>479000</v>
      </c>
      <c r="AC126" s="2">
        <f>+E126+G126+I126+K126+M126+O126+Q126+S126+U126+W126+Y126+AA126</f>
        <v>3567055.04</v>
      </c>
    </row>
    <row r="127" spans="1:29" x14ac:dyDescent="0.35">
      <c r="A127" s="36">
        <v>10</v>
      </c>
      <c r="B127" s="8" t="s">
        <v>8</v>
      </c>
      <c r="C127" s="2" t="s">
        <v>26</v>
      </c>
      <c r="D127" s="47">
        <v>80000</v>
      </c>
      <c r="E127" s="47">
        <v>340838.11</v>
      </c>
      <c r="F127" s="47">
        <v>67000</v>
      </c>
      <c r="G127" s="47">
        <v>287753.59000000003</v>
      </c>
      <c r="H127" s="47">
        <v>63000</v>
      </c>
      <c r="I127" s="47">
        <v>268035.8</v>
      </c>
      <c r="J127" s="47">
        <v>62000</v>
      </c>
      <c r="K127" s="47">
        <v>264909.57</v>
      </c>
      <c r="L127" s="47"/>
      <c r="M127" s="17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2">
        <f t="shared" si="22"/>
        <v>272000</v>
      </c>
      <c r="AC127" s="2">
        <f t="shared" ref="AC127:AC143" si="24">+E127+G127+I127+K127+M127+O127+Q127+S127+U127+W127+Y127+AA127</f>
        <v>1161537.07</v>
      </c>
    </row>
    <row r="128" spans="1:29" x14ac:dyDescent="0.35">
      <c r="A128" s="36">
        <v>11</v>
      </c>
      <c r="B128" s="8" t="s">
        <v>9</v>
      </c>
      <c r="C128" s="2" t="s">
        <v>27</v>
      </c>
      <c r="D128" s="106">
        <v>42000</v>
      </c>
      <c r="E128" s="47">
        <v>185328.1</v>
      </c>
      <c r="F128" s="47">
        <v>36000</v>
      </c>
      <c r="G128" s="47">
        <v>161977.74</v>
      </c>
      <c r="H128" s="47">
        <v>36000</v>
      </c>
      <c r="I128" s="47">
        <v>157157.76000000001</v>
      </c>
      <c r="J128" s="47">
        <v>34000</v>
      </c>
      <c r="K128" s="47">
        <v>151626.85999999999</v>
      </c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2">
        <f t="shared" si="22"/>
        <v>148000</v>
      </c>
      <c r="AC128" s="2">
        <f t="shared" si="24"/>
        <v>656090.46</v>
      </c>
    </row>
    <row r="129" spans="1:29" x14ac:dyDescent="0.35">
      <c r="A129" s="36">
        <v>12</v>
      </c>
      <c r="B129" s="8" t="s">
        <v>10</v>
      </c>
      <c r="C129" s="2" t="s">
        <v>28</v>
      </c>
      <c r="D129" s="47">
        <v>100000</v>
      </c>
      <c r="E129" s="47">
        <v>489886.67</v>
      </c>
      <c r="F129" s="47">
        <v>83000</v>
      </c>
      <c r="G129" s="47">
        <v>422094.61</v>
      </c>
      <c r="H129" s="47">
        <v>74000</v>
      </c>
      <c r="I129" s="47">
        <v>361909.47</v>
      </c>
      <c r="J129" s="47">
        <v>70000</v>
      </c>
      <c r="K129" s="47">
        <v>343639.54</v>
      </c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106"/>
      <c r="X129" s="121"/>
      <c r="Y129" s="47"/>
      <c r="Z129" s="47"/>
      <c r="AA129" s="47"/>
      <c r="AB129" s="2">
        <f t="shared" si="22"/>
        <v>327000</v>
      </c>
      <c r="AC129" s="2">
        <f t="shared" si="24"/>
        <v>1617530.29</v>
      </c>
    </row>
    <row r="130" spans="1:29" x14ac:dyDescent="0.35">
      <c r="A130" s="36">
        <v>13</v>
      </c>
      <c r="B130" s="8" t="s">
        <v>11</v>
      </c>
      <c r="C130" s="2" t="s">
        <v>29</v>
      </c>
      <c r="D130" s="47">
        <v>93000</v>
      </c>
      <c r="E130" s="47">
        <v>426192.16</v>
      </c>
      <c r="F130" s="47">
        <v>74000</v>
      </c>
      <c r="G130" s="47">
        <v>344242.13</v>
      </c>
      <c r="H130" s="47">
        <v>62000</v>
      </c>
      <c r="I130" s="47">
        <v>280236.77</v>
      </c>
      <c r="J130" s="47">
        <v>67000</v>
      </c>
      <c r="K130" s="47">
        <v>320004.78000000003</v>
      </c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2">
        <f t="shared" si="22"/>
        <v>296000</v>
      </c>
      <c r="AC130" s="2">
        <f t="shared" si="24"/>
        <v>1370675.84</v>
      </c>
    </row>
    <row r="131" spans="1:29" x14ac:dyDescent="0.35">
      <c r="A131" s="36">
        <v>14</v>
      </c>
      <c r="B131" s="8" t="s">
        <v>12</v>
      </c>
      <c r="C131" s="2" t="s">
        <v>30</v>
      </c>
      <c r="D131" s="47">
        <v>82000</v>
      </c>
      <c r="E131" s="47">
        <v>389477.34</v>
      </c>
      <c r="F131" s="47">
        <v>70000</v>
      </c>
      <c r="G131" s="47">
        <v>330023.49</v>
      </c>
      <c r="H131" s="47">
        <v>55000</v>
      </c>
      <c r="I131" s="106">
        <v>258704.21</v>
      </c>
      <c r="J131" s="47">
        <v>64000</v>
      </c>
      <c r="K131" s="47">
        <v>304255.15000000002</v>
      </c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9"/>
      <c r="X131" s="47"/>
      <c r="Y131" s="49"/>
      <c r="Z131" s="47"/>
      <c r="AA131" s="49"/>
      <c r="AB131" s="2">
        <f t="shared" si="22"/>
        <v>271000</v>
      </c>
      <c r="AC131" s="2">
        <f t="shared" si="24"/>
        <v>1282460.19</v>
      </c>
    </row>
    <row r="132" spans="1:29" x14ac:dyDescent="0.35">
      <c r="A132" s="36">
        <v>15</v>
      </c>
      <c r="B132" s="8" t="s">
        <v>13</v>
      </c>
      <c r="C132" s="2" t="s">
        <v>31</v>
      </c>
      <c r="D132" s="47">
        <v>184000</v>
      </c>
      <c r="E132" s="47">
        <v>763082.09</v>
      </c>
      <c r="F132" s="47">
        <v>163000</v>
      </c>
      <c r="G132" s="47">
        <v>674955.27</v>
      </c>
      <c r="H132" s="47">
        <v>158000</v>
      </c>
      <c r="I132" s="47">
        <v>640525.82999999996</v>
      </c>
      <c r="J132" s="47">
        <v>162000</v>
      </c>
      <c r="K132" s="47">
        <v>658613.77</v>
      </c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9"/>
      <c r="X132" s="47"/>
      <c r="Y132" s="49"/>
      <c r="Z132" s="47"/>
      <c r="AA132" s="49"/>
      <c r="AB132" s="2">
        <f t="shared" si="22"/>
        <v>667000</v>
      </c>
      <c r="AC132" s="2">
        <f t="shared" si="24"/>
        <v>2737176.96</v>
      </c>
    </row>
    <row r="133" spans="1:29" x14ac:dyDescent="0.35">
      <c r="A133" s="36">
        <v>16</v>
      </c>
      <c r="B133" s="8" t="s">
        <v>14</v>
      </c>
      <c r="C133" s="2" t="s">
        <v>35</v>
      </c>
      <c r="D133" s="47">
        <v>1824</v>
      </c>
      <c r="E133" s="47">
        <v>8730.3799999999992</v>
      </c>
      <c r="F133" s="47">
        <v>1428</v>
      </c>
      <c r="G133" s="49">
        <v>6790.21</v>
      </c>
      <c r="H133" s="47">
        <v>1942</v>
      </c>
      <c r="I133" s="47">
        <v>9308.51</v>
      </c>
      <c r="J133" s="47">
        <v>1595</v>
      </c>
      <c r="K133" s="47">
        <v>7506.01</v>
      </c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106"/>
      <c r="Z133" s="47"/>
      <c r="AA133" s="47"/>
      <c r="AB133" s="2">
        <f t="shared" si="22"/>
        <v>6789</v>
      </c>
      <c r="AC133" s="2">
        <f t="shared" si="24"/>
        <v>32335.11</v>
      </c>
    </row>
    <row r="134" spans="1:29" x14ac:dyDescent="0.35">
      <c r="A134" s="36">
        <v>17</v>
      </c>
      <c r="B134" s="8" t="s">
        <v>15</v>
      </c>
      <c r="C134" s="2" t="s">
        <v>32</v>
      </c>
      <c r="D134" s="47">
        <v>50000</v>
      </c>
      <c r="E134" s="47">
        <v>213196.44</v>
      </c>
      <c r="F134" s="47">
        <v>44000</v>
      </c>
      <c r="G134" s="47">
        <v>187712.56</v>
      </c>
      <c r="H134" s="47">
        <v>41000</v>
      </c>
      <c r="I134" s="47">
        <v>172497.51</v>
      </c>
      <c r="J134" s="47">
        <v>41000</v>
      </c>
      <c r="K134" s="47">
        <v>171824.59</v>
      </c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2">
        <f t="shared" si="22"/>
        <v>176000</v>
      </c>
      <c r="AC134" s="2">
        <f t="shared" si="24"/>
        <v>745231.1</v>
      </c>
    </row>
    <row r="135" spans="1:29" x14ac:dyDescent="0.35">
      <c r="A135" s="36">
        <v>18</v>
      </c>
      <c r="B135" s="8" t="s">
        <v>16</v>
      </c>
      <c r="C135" s="2" t="s">
        <v>33</v>
      </c>
      <c r="D135" s="47">
        <v>122000</v>
      </c>
      <c r="E135" s="47">
        <v>566571.72</v>
      </c>
      <c r="F135" s="47">
        <v>104000</v>
      </c>
      <c r="G135" s="47">
        <v>478094.13</v>
      </c>
      <c r="H135" s="47">
        <v>88000</v>
      </c>
      <c r="I135" s="47">
        <v>411200.9</v>
      </c>
      <c r="J135" s="47">
        <v>91000</v>
      </c>
      <c r="K135" s="47">
        <v>416749.41</v>
      </c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2">
        <f t="shared" si="22"/>
        <v>405000</v>
      </c>
      <c r="AC135" s="2">
        <f t="shared" si="24"/>
        <v>1872616.16</v>
      </c>
    </row>
    <row r="136" spans="1:29" x14ac:dyDescent="0.35">
      <c r="A136" s="36">
        <v>19</v>
      </c>
      <c r="B136" s="8" t="s">
        <v>17</v>
      </c>
      <c r="C136" s="2" t="s">
        <v>34</v>
      </c>
      <c r="D136" s="47">
        <v>187000</v>
      </c>
      <c r="E136" s="47">
        <v>847167.28</v>
      </c>
      <c r="F136" s="47">
        <v>158000</v>
      </c>
      <c r="G136" s="47">
        <v>707182.41</v>
      </c>
      <c r="H136" s="47">
        <v>141000</v>
      </c>
      <c r="I136" s="47">
        <v>621943.44999999995</v>
      </c>
      <c r="J136" s="47">
        <v>140000</v>
      </c>
      <c r="K136" s="47">
        <v>624096.74</v>
      </c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2">
        <f t="shared" si="22"/>
        <v>626000</v>
      </c>
      <c r="AC136" s="2">
        <f t="shared" si="24"/>
        <v>2800389.88</v>
      </c>
    </row>
    <row r="137" spans="1:29" x14ac:dyDescent="0.35">
      <c r="A137" s="36">
        <v>20</v>
      </c>
      <c r="B137" s="8" t="s">
        <v>18</v>
      </c>
      <c r="C137" s="2" t="s">
        <v>36</v>
      </c>
      <c r="D137" s="47">
        <v>173000</v>
      </c>
      <c r="E137" s="47">
        <v>806425.96</v>
      </c>
      <c r="F137" s="47">
        <v>139000</v>
      </c>
      <c r="G137" s="47">
        <v>646597.82999999996</v>
      </c>
      <c r="H137" s="47">
        <v>112000</v>
      </c>
      <c r="I137" s="47">
        <v>526334.1</v>
      </c>
      <c r="J137" s="47">
        <v>125000</v>
      </c>
      <c r="K137" s="47">
        <v>571329.59</v>
      </c>
      <c r="L137" s="47"/>
      <c r="M137" s="47"/>
      <c r="N137" s="47"/>
      <c r="O137" s="107"/>
      <c r="P137" s="47"/>
      <c r="Q137" s="47"/>
      <c r="R137" s="47"/>
      <c r="S137" s="47"/>
      <c r="T137" s="47"/>
      <c r="U137" s="47"/>
      <c r="V137" s="106"/>
      <c r="W137" s="47"/>
      <c r="X137" s="106"/>
      <c r="Y137" s="47"/>
      <c r="Z137" s="47"/>
      <c r="AA137" s="47"/>
      <c r="AB137" s="2">
        <f t="shared" si="22"/>
        <v>549000</v>
      </c>
      <c r="AC137" s="2">
        <f t="shared" si="24"/>
        <v>2550687.48</v>
      </c>
    </row>
    <row r="138" spans="1:29" x14ac:dyDescent="0.35">
      <c r="A138" s="36">
        <v>21</v>
      </c>
      <c r="B138" s="29" t="s">
        <v>19</v>
      </c>
      <c r="C138" s="2" t="s">
        <v>22</v>
      </c>
      <c r="D138" s="47">
        <v>119000</v>
      </c>
      <c r="E138" s="47">
        <v>540753.06999999995</v>
      </c>
      <c r="F138" s="47">
        <v>103000</v>
      </c>
      <c r="G138" s="47">
        <v>461691.66</v>
      </c>
      <c r="H138" s="47">
        <v>103000</v>
      </c>
      <c r="I138" s="107">
        <v>464536.36</v>
      </c>
      <c r="J138" s="47">
        <v>100000</v>
      </c>
      <c r="K138" s="107">
        <v>443706.7</v>
      </c>
      <c r="L138" s="47"/>
      <c r="M138" s="107"/>
      <c r="N138" s="47"/>
      <c r="O138" s="107"/>
      <c r="P138" s="47"/>
      <c r="Q138" s="107"/>
      <c r="R138" s="47"/>
      <c r="S138" s="107"/>
      <c r="T138" s="47"/>
      <c r="U138" s="49"/>
      <c r="V138" s="47"/>
      <c r="W138" s="107"/>
      <c r="X138" s="47"/>
      <c r="Y138" s="107"/>
      <c r="Z138" s="47"/>
      <c r="AA138" s="49"/>
      <c r="AB138" s="2">
        <f t="shared" si="22"/>
        <v>425000</v>
      </c>
      <c r="AC138" s="2">
        <f t="shared" si="24"/>
        <v>1910687.7899999998</v>
      </c>
    </row>
    <row r="139" spans="1:29" x14ac:dyDescent="0.35">
      <c r="A139" s="36">
        <v>22</v>
      </c>
      <c r="B139" s="8" t="s">
        <v>20</v>
      </c>
      <c r="C139" s="2" t="s">
        <v>23</v>
      </c>
      <c r="D139" s="47">
        <v>100000</v>
      </c>
      <c r="E139" s="48">
        <v>379836.04</v>
      </c>
      <c r="F139" s="47">
        <v>83000</v>
      </c>
      <c r="G139" s="48">
        <v>317052.38</v>
      </c>
      <c r="H139" s="47">
        <v>63000</v>
      </c>
      <c r="I139" s="47">
        <v>244979.54</v>
      </c>
      <c r="J139" s="47">
        <v>70000</v>
      </c>
      <c r="K139" s="48">
        <v>270488.17</v>
      </c>
      <c r="L139" s="47"/>
      <c r="M139" s="48"/>
      <c r="N139" s="47"/>
      <c r="O139" s="48"/>
      <c r="P139" s="47"/>
      <c r="Q139" s="48"/>
      <c r="R139" s="47"/>
      <c r="S139" s="48"/>
      <c r="T139" s="47"/>
      <c r="U139" s="48"/>
      <c r="V139" s="47"/>
      <c r="W139" s="48"/>
      <c r="X139" s="47"/>
      <c r="Y139" s="48"/>
      <c r="Z139" s="47"/>
      <c r="AA139" s="48"/>
      <c r="AB139" s="2">
        <f t="shared" si="22"/>
        <v>316000</v>
      </c>
      <c r="AC139" s="2">
        <f t="shared" si="24"/>
        <v>1212356.1299999999</v>
      </c>
    </row>
    <row r="140" spans="1:29" x14ac:dyDescent="0.35">
      <c r="A140" s="36">
        <v>23</v>
      </c>
      <c r="B140" s="30">
        <v>5701540304</v>
      </c>
      <c r="C140" s="13" t="s">
        <v>37</v>
      </c>
      <c r="D140" s="47">
        <v>90732</v>
      </c>
      <c r="E140" s="52">
        <v>386221.05</v>
      </c>
      <c r="F140" s="47">
        <v>86304</v>
      </c>
      <c r="G140" s="52">
        <v>395120.09</v>
      </c>
      <c r="H140" s="47">
        <v>66168</v>
      </c>
      <c r="I140" s="53">
        <v>295091.58</v>
      </c>
      <c r="J140" s="47">
        <v>69768</v>
      </c>
      <c r="K140" s="52">
        <v>304949.49</v>
      </c>
      <c r="L140" s="47"/>
      <c r="M140" s="178"/>
      <c r="N140" s="106"/>
      <c r="O140" s="52"/>
      <c r="P140" s="47"/>
      <c r="Q140" s="52"/>
      <c r="R140" s="47"/>
      <c r="S140" s="52"/>
      <c r="T140" s="106"/>
      <c r="U140" s="53"/>
      <c r="V140" s="53"/>
      <c r="W140" s="53"/>
      <c r="X140" s="47"/>
      <c r="Y140" s="52"/>
      <c r="Z140" s="47"/>
      <c r="AA140" s="52"/>
      <c r="AB140" s="2">
        <f t="shared" si="22"/>
        <v>312972</v>
      </c>
      <c r="AC140" s="2">
        <f t="shared" si="24"/>
        <v>1381382.21</v>
      </c>
    </row>
    <row r="141" spans="1:29" x14ac:dyDescent="0.35">
      <c r="A141" s="36">
        <v>24</v>
      </c>
      <c r="B141" s="8">
        <v>20964080</v>
      </c>
      <c r="C141" s="2" t="s">
        <v>37</v>
      </c>
      <c r="D141" s="47">
        <v>2632</v>
      </c>
      <c r="E141" s="53">
        <v>15284.75</v>
      </c>
      <c r="F141" s="47">
        <v>2548</v>
      </c>
      <c r="G141" s="52">
        <v>17045.41</v>
      </c>
      <c r="H141" s="106">
        <v>2028</v>
      </c>
      <c r="I141" s="53">
        <v>12541.25</v>
      </c>
      <c r="J141" s="47">
        <v>2068</v>
      </c>
      <c r="K141" s="53">
        <v>14677.48</v>
      </c>
      <c r="L141" s="47"/>
      <c r="M141" s="174"/>
      <c r="N141" s="47"/>
      <c r="O141" s="53"/>
      <c r="P141" s="47"/>
      <c r="Q141" s="53"/>
      <c r="R141" s="47"/>
      <c r="S141" s="53"/>
      <c r="T141" s="47"/>
      <c r="U141" s="53"/>
      <c r="V141" s="47"/>
      <c r="W141" s="53"/>
      <c r="X141" s="106"/>
      <c r="Y141" s="47"/>
      <c r="Z141" s="47"/>
      <c r="AA141" s="53"/>
      <c r="AB141" s="2">
        <f t="shared" si="22"/>
        <v>9276</v>
      </c>
      <c r="AC141" s="2">
        <f t="shared" si="24"/>
        <v>59548.89</v>
      </c>
    </row>
    <row r="142" spans="1:29" x14ac:dyDescent="0.35">
      <c r="A142" s="36">
        <v>25</v>
      </c>
      <c r="B142" s="8">
        <v>27685433</v>
      </c>
      <c r="C142" s="2" t="s">
        <v>37</v>
      </c>
      <c r="D142" s="54"/>
      <c r="E142" s="55"/>
      <c r="F142" s="56"/>
      <c r="G142" s="53"/>
      <c r="H142" s="1"/>
      <c r="I142" s="28"/>
      <c r="J142" s="47"/>
      <c r="K142" s="47"/>
      <c r="L142" s="47"/>
      <c r="M142" s="112"/>
      <c r="N142" s="47"/>
      <c r="O142" s="53"/>
      <c r="P142" s="47"/>
      <c r="Q142" s="53"/>
      <c r="R142" s="186"/>
      <c r="S142" s="47"/>
      <c r="T142" s="47"/>
      <c r="U142" s="47"/>
      <c r="V142" s="47"/>
      <c r="W142" s="47"/>
      <c r="X142" s="35"/>
      <c r="Y142" s="35"/>
      <c r="Z142" s="47"/>
      <c r="AA142" s="53"/>
      <c r="AB142" s="2">
        <f t="shared" si="22"/>
        <v>0</v>
      </c>
      <c r="AC142" s="2">
        <f t="shared" si="24"/>
        <v>0</v>
      </c>
    </row>
    <row r="143" spans="1:29" x14ac:dyDescent="0.35">
      <c r="A143" s="36">
        <v>26</v>
      </c>
      <c r="B143" s="10">
        <v>6300579652</v>
      </c>
      <c r="C143" s="2" t="s">
        <v>50</v>
      </c>
      <c r="D143" s="55"/>
      <c r="E143" s="55"/>
      <c r="F143" s="57"/>
      <c r="G143" s="55"/>
      <c r="H143" s="25"/>
      <c r="I143" s="22"/>
      <c r="J143" s="47"/>
      <c r="K143" s="47"/>
      <c r="L143" s="55"/>
      <c r="M143" s="53"/>
      <c r="N143" s="57"/>
      <c r="O143" s="53"/>
      <c r="P143" s="55"/>
      <c r="Q143" s="53"/>
      <c r="R143" s="55"/>
      <c r="S143" s="47"/>
      <c r="T143" s="47"/>
      <c r="U143" s="47"/>
      <c r="V143" s="47"/>
      <c r="W143" s="47"/>
      <c r="X143" s="43"/>
      <c r="Y143" s="28"/>
      <c r="Z143" s="55"/>
      <c r="AA143" s="55"/>
      <c r="AB143" s="2">
        <f t="shared" si="22"/>
        <v>0</v>
      </c>
      <c r="AC143" s="2">
        <f t="shared" si="24"/>
        <v>0</v>
      </c>
    </row>
    <row r="144" spans="1:29" x14ac:dyDescent="0.35">
      <c r="A144" s="36">
        <v>27</v>
      </c>
      <c r="B144" s="8">
        <v>6500729436</v>
      </c>
      <c r="C144" s="2" t="s">
        <v>37</v>
      </c>
      <c r="D144" s="48"/>
      <c r="E144" s="58"/>
      <c r="F144" s="47"/>
      <c r="G144" s="52"/>
      <c r="H144" s="47"/>
      <c r="I144" s="48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8"/>
      <c r="AA144" s="48"/>
      <c r="AB144" s="2">
        <f t="shared" si="22"/>
        <v>0</v>
      </c>
      <c r="AC144" s="2">
        <f>+E144+G144+I144+K144+M144+O144+Q144+S144+U144+W144+Y144+AA144</f>
        <v>0</v>
      </c>
    </row>
    <row r="145" spans="1:29" x14ac:dyDescent="0.35">
      <c r="A145" s="184">
        <v>28</v>
      </c>
      <c r="B145" s="60">
        <v>6300579648</v>
      </c>
      <c r="C145" s="153" t="s">
        <v>37</v>
      </c>
      <c r="D145" s="53"/>
      <c r="E145" s="55"/>
      <c r="F145" s="112"/>
      <c r="G145" s="52"/>
      <c r="H145" s="112"/>
      <c r="I145" s="53"/>
      <c r="J145" s="47"/>
      <c r="K145" s="47"/>
      <c r="L145" s="112"/>
      <c r="M145" s="112"/>
      <c r="N145" s="112"/>
      <c r="O145" s="112"/>
      <c r="P145" s="112"/>
      <c r="Q145" s="185"/>
      <c r="R145" s="112"/>
      <c r="S145" s="112"/>
      <c r="T145" s="53"/>
      <c r="U145" s="55"/>
      <c r="V145" s="53"/>
      <c r="W145" s="53"/>
      <c r="X145" s="112"/>
      <c r="Y145" s="112"/>
      <c r="Z145" s="53"/>
      <c r="AA145" s="53"/>
      <c r="AB145" s="2">
        <f t="shared" si="22"/>
        <v>0</v>
      </c>
      <c r="AC145" s="2">
        <f>+E145+G145+I145+K145+M145+O145+Q145+S145+U145+W145+Y145+AA145</f>
        <v>0</v>
      </c>
    </row>
    <row r="146" spans="1:29" ht="21" x14ac:dyDescent="0.4">
      <c r="A146" s="36">
        <v>29</v>
      </c>
      <c r="B146" s="60">
        <v>6800001953</v>
      </c>
      <c r="C146" s="179" t="s">
        <v>37</v>
      </c>
      <c r="D146" s="53">
        <v>174.5</v>
      </c>
      <c r="E146" s="55">
        <v>1093.24</v>
      </c>
      <c r="F146" s="112">
        <v>209.5</v>
      </c>
      <c r="G146" s="52">
        <v>1245.5</v>
      </c>
      <c r="H146" s="112">
        <v>289</v>
      </c>
      <c r="I146" s="53">
        <v>1591.37</v>
      </c>
      <c r="J146" s="220">
        <v>248.5</v>
      </c>
      <c r="K146" s="220">
        <v>1399.21</v>
      </c>
      <c r="L146" s="112"/>
      <c r="M146" s="112"/>
      <c r="N146" s="112"/>
      <c r="O146" s="112"/>
      <c r="P146" s="112"/>
      <c r="Q146" s="185"/>
      <c r="R146" s="112"/>
      <c r="S146" s="112"/>
      <c r="T146" s="53"/>
      <c r="U146" s="55"/>
      <c r="V146" s="53"/>
      <c r="W146" s="53"/>
      <c r="X146" s="112"/>
      <c r="Y146" s="112"/>
      <c r="Z146" s="53"/>
      <c r="AA146" s="53"/>
      <c r="AB146" s="2">
        <f t="shared" si="22"/>
        <v>921.5</v>
      </c>
      <c r="AC146" s="2">
        <f>+E146+G146+I146+K146+M146+O146+Q146+S146+U146+W146+Y146+AA146</f>
        <v>5329.32</v>
      </c>
    </row>
    <row r="147" spans="1:29" ht="18.600000000000001" thickBot="1" x14ac:dyDescent="0.4">
      <c r="A147" s="9"/>
      <c r="B147" s="10" t="s">
        <v>24</v>
      </c>
      <c r="C147" s="11"/>
      <c r="D147" s="14">
        <f>SUM(D118:D146)</f>
        <v>2656470.5</v>
      </c>
      <c r="E147" s="14">
        <f t="shared" ref="E147:AB147" si="25">SUM(E118:E146)</f>
        <v>13235668.820000002</v>
      </c>
      <c r="F147" s="14">
        <f t="shared" si="25"/>
        <v>2240153.5</v>
      </c>
      <c r="G147" s="14">
        <f t="shared" si="25"/>
        <v>9843089.8900000006</v>
      </c>
      <c r="H147" s="14">
        <f t="shared" si="25"/>
        <v>2040028</v>
      </c>
      <c r="I147" s="14">
        <f t="shared" si="25"/>
        <v>8743778.0499999989</v>
      </c>
      <c r="J147" s="14">
        <f t="shared" si="25"/>
        <v>2131103.5</v>
      </c>
      <c r="K147" s="14">
        <f t="shared" si="25"/>
        <v>9121708.1400000025</v>
      </c>
      <c r="L147" s="14">
        <f t="shared" si="25"/>
        <v>0</v>
      </c>
      <c r="M147" s="14">
        <f t="shared" si="25"/>
        <v>0</v>
      </c>
      <c r="N147" s="14">
        <f t="shared" si="25"/>
        <v>0</v>
      </c>
      <c r="O147" s="14">
        <f t="shared" si="25"/>
        <v>0</v>
      </c>
      <c r="P147" s="14">
        <f t="shared" si="25"/>
        <v>0</v>
      </c>
      <c r="Q147" s="14">
        <f t="shared" si="25"/>
        <v>0</v>
      </c>
      <c r="R147" s="14">
        <f t="shared" si="25"/>
        <v>0</v>
      </c>
      <c r="S147" s="14">
        <f t="shared" si="25"/>
        <v>0</v>
      </c>
      <c r="T147" s="14">
        <f t="shared" si="25"/>
        <v>0</v>
      </c>
      <c r="U147" s="14">
        <f t="shared" si="25"/>
        <v>0</v>
      </c>
      <c r="V147" s="14">
        <f t="shared" si="25"/>
        <v>0</v>
      </c>
      <c r="W147" s="14">
        <f t="shared" si="25"/>
        <v>0</v>
      </c>
      <c r="X147" s="14">
        <f t="shared" si="25"/>
        <v>0</v>
      </c>
      <c r="Y147" s="14">
        <f t="shared" si="25"/>
        <v>0</v>
      </c>
      <c r="Z147" s="14">
        <f t="shared" si="25"/>
        <v>0</v>
      </c>
      <c r="AA147" s="14">
        <f t="shared" si="25"/>
        <v>0</v>
      </c>
      <c r="AB147" s="14">
        <f t="shared" si="25"/>
        <v>9067755.5</v>
      </c>
      <c r="AC147" s="14">
        <f>SUM(AC118:AC146)</f>
        <v>40944244.900000006</v>
      </c>
    </row>
    <row r="148" spans="1:29" ht="18.600000000000001" thickTop="1" x14ac:dyDescent="0.35">
      <c r="AB148" s="15"/>
      <c r="AC148" s="15"/>
    </row>
    <row r="149" spans="1:29" x14ac:dyDescent="0.35">
      <c r="AA149" s="3" t="s">
        <v>24</v>
      </c>
      <c r="AB149" s="119">
        <f>+AB150+AB151+AB152+AB153</f>
        <v>9067755.5</v>
      </c>
      <c r="AC149" s="119">
        <f>+AC150+AC151+AC152+AC153</f>
        <v>40944244.900000006</v>
      </c>
    </row>
    <row r="150" spans="1:29" x14ac:dyDescent="0.35">
      <c r="C150" s="3"/>
      <c r="D150" s="109"/>
      <c r="E150" s="109"/>
      <c r="AA150" s="3" t="s">
        <v>91</v>
      </c>
      <c r="AB150" s="118">
        <v>5656108</v>
      </c>
      <c r="AC150" s="118">
        <v>25351146.48</v>
      </c>
    </row>
    <row r="151" spans="1:29" x14ac:dyDescent="0.35">
      <c r="C151" s="3"/>
      <c r="D151" s="118"/>
      <c r="E151" s="118"/>
      <c r="AA151" s="3" t="s">
        <v>21</v>
      </c>
      <c r="AB151" s="118">
        <v>2662000</v>
      </c>
      <c r="AC151" s="118">
        <v>12213356.939999999</v>
      </c>
    </row>
    <row r="152" spans="1:29" x14ac:dyDescent="0.35">
      <c r="C152" s="3"/>
      <c r="D152" s="118"/>
      <c r="E152" s="118"/>
      <c r="AA152" s="3" t="s">
        <v>37</v>
      </c>
      <c r="AB152" s="118">
        <v>426478</v>
      </c>
      <c r="AC152" s="118">
        <v>1933481.06</v>
      </c>
    </row>
    <row r="153" spans="1:29" x14ac:dyDescent="0.35">
      <c r="C153" s="3"/>
      <c r="D153" s="118"/>
      <c r="E153" s="118"/>
      <c r="AA153" s="3" t="s">
        <v>22</v>
      </c>
      <c r="AB153" s="118">
        <v>323169.5</v>
      </c>
      <c r="AC153" s="3">
        <v>1446260.42</v>
      </c>
    </row>
    <row r="154" spans="1:29" x14ac:dyDescent="0.35">
      <c r="C154" s="3"/>
      <c r="D154" s="118"/>
    </row>
  </sheetData>
  <mergeCells count="68">
    <mergeCell ref="AB116:AC116"/>
    <mergeCell ref="A115:AB115"/>
    <mergeCell ref="A116:A117"/>
    <mergeCell ref="B116:B117"/>
    <mergeCell ref="C116:C117"/>
    <mergeCell ref="D116:E116"/>
    <mergeCell ref="F116:G116"/>
    <mergeCell ref="H116:I116"/>
    <mergeCell ref="J116:K116"/>
    <mergeCell ref="L116:M116"/>
    <mergeCell ref="N116:O116"/>
    <mergeCell ref="P116:Q116"/>
    <mergeCell ref="R116:S116"/>
    <mergeCell ref="T116:U116"/>
    <mergeCell ref="V116:W116"/>
    <mergeCell ref="X116:Y116"/>
    <mergeCell ref="Z116:AA116"/>
    <mergeCell ref="N75:O75"/>
    <mergeCell ref="T75:U75"/>
    <mergeCell ref="P75:Q75"/>
    <mergeCell ref="R75:S75"/>
    <mergeCell ref="V75:W75"/>
    <mergeCell ref="X75:Y75"/>
    <mergeCell ref="A1:AB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X2:Y2"/>
    <mergeCell ref="T2:U2"/>
    <mergeCell ref="Z2:AA2"/>
    <mergeCell ref="AB2:AC2"/>
    <mergeCell ref="Z37:AA37"/>
    <mergeCell ref="A36:AB36"/>
    <mergeCell ref="A37:A38"/>
    <mergeCell ref="B37:B38"/>
    <mergeCell ref="C37:C38"/>
    <mergeCell ref="D37:E37"/>
    <mergeCell ref="F37:G37"/>
    <mergeCell ref="H37:I37"/>
    <mergeCell ref="J37:K37"/>
    <mergeCell ref="L37:M37"/>
    <mergeCell ref="N37:O37"/>
    <mergeCell ref="P37:Q37"/>
    <mergeCell ref="AB37:AC37"/>
    <mergeCell ref="R37:S37"/>
    <mergeCell ref="AB75:AC75"/>
    <mergeCell ref="Z75:AA75"/>
    <mergeCell ref="T37:U37"/>
    <mergeCell ref="V37:W37"/>
    <mergeCell ref="X37:Y37"/>
    <mergeCell ref="A74:AB74"/>
    <mergeCell ref="A75:A76"/>
    <mergeCell ref="B75:B76"/>
    <mergeCell ref="C75:C76"/>
    <mergeCell ref="D75:E75"/>
    <mergeCell ref="F75:G75"/>
    <mergeCell ref="H75:I75"/>
    <mergeCell ref="J75:K75"/>
    <mergeCell ref="L75:M7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54B3-1AAB-4110-A0A9-0C795758FB4E}">
  <dimension ref="A1:AC90"/>
  <sheetViews>
    <sheetView topLeftCell="T64" zoomScale="70" zoomScaleNormal="70" workbookViewId="0">
      <selection activeCell="AC92" sqref="AC92"/>
    </sheetView>
  </sheetViews>
  <sheetFormatPr defaultRowHeight="13.8" x14ac:dyDescent="0.25"/>
  <cols>
    <col min="2" max="2" width="14.09765625" customWidth="1"/>
    <col min="3" max="3" width="32.796875" customWidth="1"/>
    <col min="4" max="4" width="16.796875" bestFit="1" customWidth="1"/>
    <col min="5" max="5" width="15.09765625" customWidth="1"/>
    <col min="6" max="6" width="12.69921875" customWidth="1"/>
    <col min="7" max="7" width="15.3984375" customWidth="1"/>
    <col min="8" max="8" width="12.09765625" customWidth="1"/>
    <col min="9" max="9" width="14.3984375" customWidth="1"/>
    <col min="10" max="10" width="12" customWidth="1"/>
    <col min="11" max="11" width="12.09765625" customWidth="1"/>
    <col min="12" max="12" width="12.3984375" customWidth="1"/>
    <col min="13" max="13" width="14.5" customWidth="1"/>
    <col min="14" max="14" width="13.3984375" customWidth="1"/>
    <col min="15" max="15" width="14.796875" customWidth="1"/>
    <col min="16" max="16" width="14.296875" customWidth="1"/>
    <col min="17" max="17" width="13.8984375" customWidth="1"/>
    <col min="18" max="18" width="12.69921875" customWidth="1"/>
    <col min="19" max="19" width="13.296875" customWidth="1"/>
    <col min="20" max="20" width="13.3984375" customWidth="1"/>
    <col min="21" max="21" width="12.5" customWidth="1"/>
    <col min="22" max="22" width="11.796875" customWidth="1"/>
    <col min="23" max="23" width="14.3984375" customWidth="1"/>
    <col min="24" max="24" width="12" customWidth="1"/>
    <col min="25" max="25" width="14.59765625" customWidth="1"/>
    <col min="26" max="26" width="13.3984375" customWidth="1"/>
    <col min="27" max="27" width="14.69921875" customWidth="1"/>
    <col min="28" max="28" width="14.296875" bestFit="1" customWidth="1"/>
    <col min="29" max="29" width="14.19921875" customWidth="1"/>
    <col min="30" max="30" width="10.59765625" customWidth="1"/>
  </cols>
  <sheetData>
    <row r="1" spans="1:29" ht="18" x14ac:dyDescent="0.35">
      <c r="A1" s="199" t="s">
        <v>63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</row>
    <row r="2" spans="1:29" ht="18" x14ac:dyDescent="0.25">
      <c r="A2" s="204" t="s">
        <v>0</v>
      </c>
      <c r="B2" s="204" t="s">
        <v>77</v>
      </c>
      <c r="C2" s="206" t="s">
        <v>2</v>
      </c>
      <c r="D2" s="197" t="s">
        <v>51</v>
      </c>
      <c r="E2" s="198"/>
      <c r="F2" s="197" t="s">
        <v>52</v>
      </c>
      <c r="G2" s="198"/>
      <c r="H2" s="197" t="s">
        <v>53</v>
      </c>
      <c r="I2" s="198"/>
      <c r="J2" s="197" t="s">
        <v>54</v>
      </c>
      <c r="K2" s="198"/>
      <c r="L2" s="197" t="s">
        <v>55</v>
      </c>
      <c r="M2" s="198"/>
      <c r="N2" s="197" t="s">
        <v>56</v>
      </c>
      <c r="O2" s="198"/>
      <c r="P2" s="197" t="s">
        <v>57</v>
      </c>
      <c r="Q2" s="198"/>
      <c r="R2" s="197" t="s">
        <v>58</v>
      </c>
      <c r="S2" s="198"/>
      <c r="T2" s="197" t="s">
        <v>59</v>
      </c>
      <c r="U2" s="198"/>
      <c r="V2" s="197" t="s">
        <v>60</v>
      </c>
      <c r="W2" s="198"/>
      <c r="X2" s="197" t="s">
        <v>61</v>
      </c>
      <c r="Y2" s="198"/>
      <c r="Z2" s="197" t="s">
        <v>62</v>
      </c>
      <c r="AA2" s="198"/>
      <c r="AB2" s="195" t="s">
        <v>24</v>
      </c>
      <c r="AC2" s="196"/>
    </row>
    <row r="3" spans="1:29" ht="18" x14ac:dyDescent="0.25">
      <c r="A3" s="205"/>
      <c r="B3" s="205"/>
      <c r="C3" s="207"/>
      <c r="D3" s="6" t="s">
        <v>3</v>
      </c>
      <c r="E3" s="6" t="s">
        <v>39</v>
      </c>
      <c r="F3" s="6" t="s">
        <v>3</v>
      </c>
      <c r="G3" s="6" t="s">
        <v>39</v>
      </c>
      <c r="H3" s="6" t="s">
        <v>3</v>
      </c>
      <c r="I3" s="6" t="s">
        <v>39</v>
      </c>
      <c r="J3" s="6" t="s">
        <v>3</v>
      </c>
      <c r="K3" s="6" t="s">
        <v>39</v>
      </c>
      <c r="L3" s="6" t="s">
        <v>3</v>
      </c>
      <c r="M3" s="6" t="s">
        <v>39</v>
      </c>
      <c r="N3" s="6" t="s">
        <v>3</v>
      </c>
      <c r="O3" s="6" t="s">
        <v>39</v>
      </c>
      <c r="P3" s="6" t="s">
        <v>3</v>
      </c>
      <c r="Q3" s="6" t="s">
        <v>39</v>
      </c>
      <c r="R3" s="6" t="s">
        <v>3</v>
      </c>
      <c r="S3" s="6" t="s">
        <v>39</v>
      </c>
      <c r="T3" s="6" t="s">
        <v>3</v>
      </c>
      <c r="U3" s="6" t="s">
        <v>39</v>
      </c>
      <c r="V3" s="6" t="s">
        <v>3</v>
      </c>
      <c r="W3" s="6" t="s">
        <v>39</v>
      </c>
      <c r="X3" s="6" t="s">
        <v>3</v>
      </c>
      <c r="Y3" s="6" t="s">
        <v>39</v>
      </c>
      <c r="Z3" s="6" t="s">
        <v>3</v>
      </c>
      <c r="AA3" s="6" t="s">
        <v>39</v>
      </c>
      <c r="AB3" s="6" t="s">
        <v>3</v>
      </c>
      <c r="AC3" s="6" t="s">
        <v>39</v>
      </c>
    </row>
    <row r="4" spans="1:29" ht="18" x14ac:dyDescent="0.35">
      <c r="A4" s="66">
        <v>1</v>
      </c>
      <c r="B4" s="37" t="s">
        <v>42</v>
      </c>
      <c r="C4" s="38" t="s">
        <v>43</v>
      </c>
      <c r="D4" s="84">
        <v>0</v>
      </c>
      <c r="E4" s="84">
        <v>0</v>
      </c>
      <c r="F4" s="84">
        <v>0</v>
      </c>
      <c r="G4" s="84">
        <v>0</v>
      </c>
      <c r="H4" s="84">
        <v>0</v>
      </c>
      <c r="I4" s="8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6">
        <v>364</v>
      </c>
      <c r="U4" s="6">
        <v>4162.43</v>
      </c>
      <c r="V4" s="73">
        <v>255</v>
      </c>
      <c r="W4" s="85">
        <v>4906.54</v>
      </c>
      <c r="X4" s="6">
        <v>707</v>
      </c>
      <c r="Y4" s="6">
        <v>8344.11</v>
      </c>
      <c r="Z4" s="6">
        <v>640</v>
      </c>
      <c r="AA4" s="6">
        <v>7020.87</v>
      </c>
      <c r="AB4" s="72">
        <f t="shared" ref="AB4:AB5" si="0">+D4+F4+H4+J4+L4+N4+P4+R4+T4+V4+X4+Z4</f>
        <v>1966</v>
      </c>
      <c r="AC4" s="72">
        <f t="shared" ref="AC4:AC5" si="1">+E4+G4+I4+K4+M4+O4+Q4+S4+U4+W4+Y4+AA4</f>
        <v>24433.95</v>
      </c>
    </row>
    <row r="5" spans="1:29" ht="18" x14ac:dyDescent="0.35">
      <c r="A5" s="66">
        <v>2</v>
      </c>
      <c r="B5" s="37" t="s">
        <v>44</v>
      </c>
      <c r="C5" s="38" t="s">
        <v>45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6">
        <v>334.1</v>
      </c>
      <c r="V5" s="34">
        <v>0</v>
      </c>
      <c r="W5" s="85">
        <v>334.1</v>
      </c>
      <c r="X5" s="34">
        <v>0</v>
      </c>
      <c r="Y5" s="6">
        <v>334.1</v>
      </c>
      <c r="Z5" s="34">
        <v>0</v>
      </c>
      <c r="AA5" s="6">
        <v>334.1</v>
      </c>
      <c r="AB5" s="72">
        <f t="shared" si="0"/>
        <v>0</v>
      </c>
      <c r="AC5" s="72">
        <f t="shared" si="1"/>
        <v>1336.4</v>
      </c>
    </row>
    <row r="6" spans="1:29" ht="18" x14ac:dyDescent="0.35">
      <c r="A6" s="66">
        <v>3</v>
      </c>
      <c r="B6" s="60" t="s">
        <v>4</v>
      </c>
      <c r="C6" s="47" t="s">
        <v>25</v>
      </c>
      <c r="D6" s="70">
        <v>67000</v>
      </c>
      <c r="E6" s="75">
        <v>348495.81</v>
      </c>
      <c r="F6" s="70">
        <v>70000</v>
      </c>
      <c r="G6" s="75">
        <v>376170.31</v>
      </c>
      <c r="H6" s="70">
        <v>63000</v>
      </c>
      <c r="I6" s="75">
        <v>332411.11</v>
      </c>
      <c r="J6" s="70">
        <v>64000</v>
      </c>
      <c r="K6" s="75">
        <v>384123.7</v>
      </c>
      <c r="L6" s="70">
        <v>72000</v>
      </c>
      <c r="M6" s="75">
        <v>436059.74</v>
      </c>
      <c r="N6" s="70">
        <v>89000</v>
      </c>
      <c r="O6" s="75">
        <v>544533.68000000005</v>
      </c>
      <c r="P6" s="70">
        <v>86000</v>
      </c>
      <c r="Q6" s="75">
        <v>510201.93</v>
      </c>
      <c r="R6" s="70">
        <v>97000</v>
      </c>
      <c r="S6" s="75">
        <v>516228.9</v>
      </c>
      <c r="T6" s="70">
        <v>82000</v>
      </c>
      <c r="U6" s="75">
        <v>444047.44</v>
      </c>
      <c r="V6" s="70">
        <v>80000</v>
      </c>
      <c r="W6" s="75">
        <v>421733.44</v>
      </c>
      <c r="X6" s="70">
        <v>87000</v>
      </c>
      <c r="Y6" s="75">
        <v>476145.97</v>
      </c>
      <c r="Z6" s="70">
        <v>88000</v>
      </c>
      <c r="AA6" s="75">
        <v>445048.85</v>
      </c>
      <c r="AB6" s="72">
        <f t="shared" ref="AB6:AB20" si="2">+D6+F6+H6+J6+L6+N6+P6+R6+T6+V6+X6+Z6</f>
        <v>945000</v>
      </c>
      <c r="AC6" s="72">
        <f t="shared" ref="AC6:AC20" si="3">+E6+G6+I6+K6+M6+O6+Q6+S6+U6+W6+Y6+AA6</f>
        <v>5235200.88</v>
      </c>
    </row>
    <row r="7" spans="1:29" ht="18" x14ac:dyDescent="0.35">
      <c r="A7" s="66">
        <v>4</v>
      </c>
      <c r="B7" s="60" t="s">
        <v>5</v>
      </c>
      <c r="C7" s="47"/>
      <c r="D7" s="70">
        <v>148000</v>
      </c>
      <c r="E7" s="75">
        <v>784757.83</v>
      </c>
      <c r="F7" s="70">
        <v>154000</v>
      </c>
      <c r="G7" s="76">
        <v>837812.23</v>
      </c>
      <c r="H7" s="70">
        <v>121000</v>
      </c>
      <c r="I7" s="75">
        <v>642312.14</v>
      </c>
      <c r="J7" s="70">
        <v>135000</v>
      </c>
      <c r="K7" s="75">
        <v>826658.32</v>
      </c>
      <c r="L7" s="70">
        <v>160000</v>
      </c>
      <c r="M7" s="75">
        <v>973698.2</v>
      </c>
      <c r="N7" s="70">
        <v>200000</v>
      </c>
      <c r="O7" s="75">
        <v>1211333.82</v>
      </c>
      <c r="P7" s="70">
        <v>186000</v>
      </c>
      <c r="Q7" s="75">
        <v>1119211.47</v>
      </c>
      <c r="R7" s="70">
        <v>225000</v>
      </c>
      <c r="S7" s="75">
        <v>1193582.75</v>
      </c>
      <c r="T7" s="70">
        <v>177000</v>
      </c>
      <c r="U7" s="75">
        <v>945465.35</v>
      </c>
      <c r="V7" s="70">
        <v>162000</v>
      </c>
      <c r="W7" s="75">
        <v>853294.6</v>
      </c>
      <c r="X7" s="70">
        <v>195000</v>
      </c>
      <c r="Y7" s="75">
        <v>1064867.52</v>
      </c>
      <c r="Z7" s="70">
        <v>182000</v>
      </c>
      <c r="AA7" s="75">
        <v>914361.58</v>
      </c>
      <c r="AB7" s="72">
        <f t="shared" si="2"/>
        <v>2045000</v>
      </c>
      <c r="AC7" s="72">
        <f t="shared" si="3"/>
        <v>11367355.809999999</v>
      </c>
    </row>
    <row r="8" spans="1:29" ht="18" x14ac:dyDescent="0.35">
      <c r="A8" s="66">
        <v>5</v>
      </c>
      <c r="B8" s="60" t="s">
        <v>6</v>
      </c>
      <c r="C8" s="47"/>
      <c r="D8" s="70">
        <v>138000</v>
      </c>
      <c r="E8" s="75">
        <v>716275.67</v>
      </c>
      <c r="F8" s="70">
        <v>149000</v>
      </c>
      <c r="G8" s="75">
        <v>794199.05</v>
      </c>
      <c r="H8" s="70">
        <v>129000</v>
      </c>
      <c r="I8" s="75">
        <v>678399.99</v>
      </c>
      <c r="J8" s="70">
        <v>124000</v>
      </c>
      <c r="K8" s="75">
        <v>758973.47</v>
      </c>
      <c r="L8" s="70">
        <v>143000</v>
      </c>
      <c r="M8" s="75">
        <v>894634.92</v>
      </c>
      <c r="N8" s="70">
        <v>173000</v>
      </c>
      <c r="O8" s="75">
        <v>1044312.39</v>
      </c>
      <c r="P8" s="70">
        <v>157000</v>
      </c>
      <c r="Q8" s="75">
        <v>964179.39</v>
      </c>
      <c r="R8" s="70">
        <v>179000</v>
      </c>
      <c r="S8" s="75">
        <v>977216.73</v>
      </c>
      <c r="T8" s="70">
        <v>148000</v>
      </c>
      <c r="U8" s="75">
        <v>800158.02</v>
      </c>
      <c r="V8" s="71">
        <v>154000</v>
      </c>
      <c r="W8" s="75">
        <v>833680.27</v>
      </c>
      <c r="X8" s="70">
        <v>179000</v>
      </c>
      <c r="Y8" s="75">
        <v>969109.33</v>
      </c>
      <c r="Z8" s="70">
        <v>172000</v>
      </c>
      <c r="AA8" s="75">
        <v>898450.45</v>
      </c>
      <c r="AB8" s="72">
        <f t="shared" si="2"/>
        <v>1845000</v>
      </c>
      <c r="AC8" s="72">
        <f t="shared" si="3"/>
        <v>10329589.679999998</v>
      </c>
    </row>
    <row r="9" spans="1:29" ht="18" x14ac:dyDescent="0.35">
      <c r="A9" s="66">
        <v>6</v>
      </c>
      <c r="B9" s="60" t="s">
        <v>8</v>
      </c>
      <c r="C9" s="47" t="s">
        <v>26</v>
      </c>
      <c r="D9" s="70">
        <v>56000</v>
      </c>
      <c r="E9" s="70">
        <v>288120.87</v>
      </c>
      <c r="F9" s="70">
        <v>59000</v>
      </c>
      <c r="G9" s="70">
        <v>308500.86</v>
      </c>
      <c r="H9" s="70">
        <v>51000</v>
      </c>
      <c r="I9" s="70">
        <v>268513.40999999997</v>
      </c>
      <c r="J9" s="70">
        <v>53000</v>
      </c>
      <c r="K9" s="70">
        <v>310338.74</v>
      </c>
      <c r="L9" s="70">
        <v>59000</v>
      </c>
      <c r="M9" s="83">
        <v>343779.63</v>
      </c>
      <c r="N9" s="70">
        <v>69000</v>
      </c>
      <c r="O9" s="70">
        <v>399087.72</v>
      </c>
      <c r="P9" s="70">
        <v>63000</v>
      </c>
      <c r="Q9" s="70">
        <v>363861.81</v>
      </c>
      <c r="R9" s="70">
        <v>78000</v>
      </c>
      <c r="S9" s="70">
        <v>397506.35</v>
      </c>
      <c r="T9" s="70">
        <v>73000</v>
      </c>
      <c r="U9" s="70">
        <v>378539.65</v>
      </c>
      <c r="V9" s="70">
        <v>74000</v>
      </c>
      <c r="W9" s="70">
        <v>374953.13</v>
      </c>
      <c r="X9" s="70">
        <v>84000</v>
      </c>
      <c r="Y9" s="70">
        <v>431801.98</v>
      </c>
      <c r="Z9" s="70">
        <v>79000</v>
      </c>
      <c r="AA9" s="70">
        <v>375496.57</v>
      </c>
      <c r="AB9" s="72">
        <f t="shared" si="2"/>
        <v>798000</v>
      </c>
      <c r="AC9" s="72">
        <f t="shared" si="3"/>
        <v>4240500.72</v>
      </c>
    </row>
    <row r="10" spans="1:29" ht="18" x14ac:dyDescent="0.35">
      <c r="A10" s="66">
        <v>7</v>
      </c>
      <c r="B10" s="60" t="s">
        <v>9</v>
      </c>
      <c r="C10" s="47" t="s">
        <v>27</v>
      </c>
      <c r="D10" s="70">
        <v>36000</v>
      </c>
      <c r="E10" s="70">
        <v>190363.06</v>
      </c>
      <c r="F10" s="70">
        <v>38000</v>
      </c>
      <c r="G10" s="70">
        <v>201300</v>
      </c>
      <c r="H10" s="70">
        <v>33000</v>
      </c>
      <c r="I10" s="70">
        <v>176150.71</v>
      </c>
      <c r="J10" s="70">
        <v>34000</v>
      </c>
      <c r="K10" s="70">
        <v>204719.09</v>
      </c>
      <c r="L10" s="70">
        <v>35000</v>
      </c>
      <c r="M10" s="70">
        <v>211991.39</v>
      </c>
      <c r="N10" s="70">
        <v>46000</v>
      </c>
      <c r="O10" s="70">
        <v>276831.53000000003</v>
      </c>
      <c r="P10" s="70">
        <v>40000</v>
      </c>
      <c r="Q10" s="70">
        <v>246283.38</v>
      </c>
      <c r="R10" s="70">
        <v>49000</v>
      </c>
      <c r="S10" s="70">
        <v>260020.11</v>
      </c>
      <c r="T10" s="70">
        <v>46000</v>
      </c>
      <c r="U10" s="70">
        <v>246601.51</v>
      </c>
      <c r="V10" s="70">
        <v>43000</v>
      </c>
      <c r="W10" s="70">
        <v>223448.72</v>
      </c>
      <c r="X10" s="70">
        <v>39000</v>
      </c>
      <c r="Y10" s="70">
        <v>208970.89</v>
      </c>
      <c r="Z10" s="70">
        <v>37000</v>
      </c>
      <c r="AA10" s="70">
        <v>189425.15</v>
      </c>
      <c r="AB10" s="72">
        <f t="shared" si="2"/>
        <v>476000</v>
      </c>
      <c r="AC10" s="72">
        <f t="shared" si="3"/>
        <v>2636105.54</v>
      </c>
    </row>
    <row r="11" spans="1:29" ht="18" x14ac:dyDescent="0.35">
      <c r="A11" s="66">
        <v>8</v>
      </c>
      <c r="B11" s="60" t="s">
        <v>10</v>
      </c>
      <c r="C11" s="47" t="s">
        <v>28</v>
      </c>
      <c r="D11" s="70">
        <v>90000</v>
      </c>
      <c r="E11" s="70">
        <v>517807.24</v>
      </c>
      <c r="F11" s="70">
        <v>93000</v>
      </c>
      <c r="G11" s="70">
        <v>548433.82999999996</v>
      </c>
      <c r="H11" s="70">
        <v>86000</v>
      </c>
      <c r="I11" s="70">
        <v>496392.31</v>
      </c>
      <c r="J11" s="70">
        <v>89000</v>
      </c>
      <c r="K11" s="70">
        <v>576266.28</v>
      </c>
      <c r="L11" s="70">
        <v>90000</v>
      </c>
      <c r="M11" s="70">
        <v>585305.4</v>
      </c>
      <c r="N11" s="70">
        <v>106000</v>
      </c>
      <c r="O11" s="70">
        <v>688548.55</v>
      </c>
      <c r="P11" s="70">
        <v>92000</v>
      </c>
      <c r="Q11" s="70">
        <v>607234.24</v>
      </c>
      <c r="R11" s="70">
        <v>116000</v>
      </c>
      <c r="S11" s="70">
        <v>668074.4</v>
      </c>
      <c r="T11" s="70">
        <v>112000</v>
      </c>
      <c r="U11" s="70">
        <v>647306.22</v>
      </c>
      <c r="V11" s="70">
        <v>99000</v>
      </c>
      <c r="W11" s="71">
        <v>574985.28</v>
      </c>
      <c r="X11" s="70">
        <v>106000</v>
      </c>
      <c r="Y11" s="70">
        <v>616314.01</v>
      </c>
      <c r="Z11" s="70">
        <v>102000</v>
      </c>
      <c r="AA11" s="70">
        <v>557726.03</v>
      </c>
      <c r="AB11" s="72">
        <f t="shared" si="2"/>
        <v>1181000</v>
      </c>
      <c r="AC11" s="72">
        <f t="shared" si="3"/>
        <v>7084393.790000001</v>
      </c>
    </row>
    <row r="12" spans="1:29" ht="18" x14ac:dyDescent="0.35">
      <c r="A12" s="66">
        <v>9</v>
      </c>
      <c r="B12" s="60" t="s">
        <v>11</v>
      </c>
      <c r="C12" s="47" t="s">
        <v>29</v>
      </c>
      <c r="D12" s="70">
        <v>72000</v>
      </c>
      <c r="E12" s="70">
        <v>383136.18</v>
      </c>
      <c r="F12" s="70">
        <v>73000</v>
      </c>
      <c r="G12" s="70">
        <v>401101.83</v>
      </c>
      <c r="H12" s="70">
        <v>59000</v>
      </c>
      <c r="I12" s="70">
        <v>325188.56</v>
      </c>
      <c r="J12" s="70">
        <v>67000</v>
      </c>
      <c r="K12" s="70">
        <v>406082.83</v>
      </c>
      <c r="L12" s="70">
        <v>77000</v>
      </c>
      <c r="M12" s="70">
        <v>475977.11</v>
      </c>
      <c r="N12" s="70">
        <v>92000</v>
      </c>
      <c r="O12" s="70">
        <v>568610.32999999996</v>
      </c>
      <c r="P12" s="70">
        <v>84000</v>
      </c>
      <c r="Q12" s="70">
        <v>519046.09</v>
      </c>
      <c r="R12" s="70">
        <v>101000</v>
      </c>
      <c r="S12" s="70">
        <v>545403.14</v>
      </c>
      <c r="T12" s="70">
        <v>77000</v>
      </c>
      <c r="U12" s="70">
        <v>423469.96</v>
      </c>
      <c r="V12" s="70">
        <v>76000</v>
      </c>
      <c r="W12" s="70">
        <v>409515.36</v>
      </c>
      <c r="X12" s="70">
        <v>91000</v>
      </c>
      <c r="Y12" s="70">
        <v>503835.65</v>
      </c>
      <c r="Z12" s="70">
        <v>90000</v>
      </c>
      <c r="AA12" s="70">
        <v>472690.48</v>
      </c>
      <c r="AB12" s="72">
        <f t="shared" si="2"/>
        <v>959000</v>
      </c>
      <c r="AC12" s="72">
        <f t="shared" si="3"/>
        <v>5434057.5200000014</v>
      </c>
    </row>
    <row r="13" spans="1:29" ht="18" x14ac:dyDescent="0.35">
      <c r="A13" s="66">
        <v>10</v>
      </c>
      <c r="B13" s="60" t="s">
        <v>12</v>
      </c>
      <c r="C13" s="47" t="s">
        <v>30</v>
      </c>
      <c r="D13" s="70">
        <v>54000</v>
      </c>
      <c r="E13" s="70">
        <v>298248.90000000002</v>
      </c>
      <c r="F13" s="70">
        <v>61000</v>
      </c>
      <c r="G13" s="70">
        <v>346666.9</v>
      </c>
      <c r="H13" s="70">
        <v>46000</v>
      </c>
      <c r="I13" s="70">
        <v>255843.45</v>
      </c>
      <c r="J13" s="70">
        <v>45000</v>
      </c>
      <c r="K13" s="70">
        <v>284461.90999999997</v>
      </c>
      <c r="L13" s="70">
        <v>56000</v>
      </c>
      <c r="M13" s="70">
        <v>357235.21</v>
      </c>
      <c r="N13" s="70">
        <v>72000</v>
      </c>
      <c r="O13" s="70">
        <v>468219.05</v>
      </c>
      <c r="P13" s="70">
        <v>65000</v>
      </c>
      <c r="Q13" s="70">
        <v>413552.66</v>
      </c>
      <c r="R13" s="70">
        <v>79000</v>
      </c>
      <c r="S13" s="70">
        <v>437488.14</v>
      </c>
      <c r="T13" s="70">
        <v>62000</v>
      </c>
      <c r="U13" s="70">
        <v>343277.14</v>
      </c>
      <c r="V13" s="70">
        <v>61000</v>
      </c>
      <c r="W13" s="76">
        <v>340274.65</v>
      </c>
      <c r="X13" s="70">
        <v>85000</v>
      </c>
      <c r="Y13" s="76">
        <v>474327.99</v>
      </c>
      <c r="Z13" s="70">
        <v>72000</v>
      </c>
      <c r="AA13" s="76">
        <v>378055.65</v>
      </c>
      <c r="AB13" s="72">
        <f t="shared" si="2"/>
        <v>758000</v>
      </c>
      <c r="AC13" s="72">
        <f t="shared" si="3"/>
        <v>4397651.6500000004</v>
      </c>
    </row>
    <row r="14" spans="1:29" ht="18" x14ac:dyDescent="0.35">
      <c r="A14" s="66">
        <v>11</v>
      </c>
      <c r="B14" s="60" t="s">
        <v>13</v>
      </c>
      <c r="C14" s="47" t="s">
        <v>31</v>
      </c>
      <c r="D14" s="70">
        <v>163000</v>
      </c>
      <c r="E14" s="70">
        <v>780773.16</v>
      </c>
      <c r="F14" s="70">
        <v>171000</v>
      </c>
      <c r="G14" s="70">
        <v>866501.28</v>
      </c>
      <c r="H14" s="70">
        <v>145000</v>
      </c>
      <c r="I14" s="70">
        <v>704184.03</v>
      </c>
      <c r="J14" s="70">
        <v>144000</v>
      </c>
      <c r="K14" s="70">
        <v>805287.05</v>
      </c>
      <c r="L14" s="70">
        <v>145000</v>
      </c>
      <c r="M14" s="70">
        <v>834115.05</v>
      </c>
      <c r="N14" s="70">
        <v>184000</v>
      </c>
      <c r="O14" s="70">
        <v>1064478.3700000001</v>
      </c>
      <c r="P14" s="70">
        <v>189000</v>
      </c>
      <c r="Q14" s="70">
        <v>1061334.18</v>
      </c>
      <c r="R14" s="70">
        <v>222000</v>
      </c>
      <c r="S14" s="70">
        <v>1112449.72</v>
      </c>
      <c r="T14" s="70">
        <v>187000</v>
      </c>
      <c r="U14" s="70">
        <v>931532.80000000005</v>
      </c>
      <c r="V14" s="70">
        <v>189000</v>
      </c>
      <c r="W14" s="76">
        <v>926699.57</v>
      </c>
      <c r="X14" s="70">
        <v>190000</v>
      </c>
      <c r="Y14" s="76">
        <v>942296.96</v>
      </c>
      <c r="Z14" s="70">
        <v>186000</v>
      </c>
      <c r="AA14" s="76">
        <v>885130.66</v>
      </c>
      <c r="AB14" s="72">
        <f t="shared" si="2"/>
        <v>2115000</v>
      </c>
      <c r="AC14" s="72">
        <f t="shared" si="3"/>
        <v>10914782.829999998</v>
      </c>
    </row>
    <row r="15" spans="1:29" ht="18" x14ac:dyDescent="0.35">
      <c r="A15" s="66">
        <v>12</v>
      </c>
      <c r="B15" s="60" t="s">
        <v>14</v>
      </c>
      <c r="C15" s="47" t="s">
        <v>35</v>
      </c>
      <c r="D15" s="70">
        <v>1713</v>
      </c>
      <c r="E15" s="70">
        <v>9624.67</v>
      </c>
      <c r="F15" s="70">
        <v>1872</v>
      </c>
      <c r="G15" s="76">
        <v>10535.88</v>
      </c>
      <c r="H15" s="70">
        <v>2199</v>
      </c>
      <c r="I15" s="70">
        <v>12409.9</v>
      </c>
      <c r="J15" s="70">
        <v>2486</v>
      </c>
      <c r="K15" s="70">
        <v>15676.55</v>
      </c>
      <c r="L15" s="70">
        <v>2359</v>
      </c>
      <c r="M15" s="70">
        <v>14865.16</v>
      </c>
      <c r="N15" s="70">
        <v>3044</v>
      </c>
      <c r="O15" s="70">
        <v>19241.52</v>
      </c>
      <c r="P15" s="70">
        <v>2938</v>
      </c>
      <c r="Q15" s="70">
        <v>18564.310000000001</v>
      </c>
      <c r="R15" s="70">
        <v>3214</v>
      </c>
      <c r="S15" s="70">
        <v>18135.98</v>
      </c>
      <c r="T15" s="70">
        <v>2845</v>
      </c>
      <c r="U15" s="70">
        <v>16030.12</v>
      </c>
      <c r="V15" s="70">
        <v>2764</v>
      </c>
      <c r="W15" s="70">
        <v>15567.85</v>
      </c>
      <c r="X15" s="70">
        <v>2645</v>
      </c>
      <c r="Y15" s="70">
        <v>14888.73</v>
      </c>
      <c r="Z15" s="70">
        <v>2752</v>
      </c>
      <c r="AA15" s="70">
        <v>14783.82</v>
      </c>
      <c r="AB15" s="72">
        <f t="shared" si="2"/>
        <v>30831</v>
      </c>
      <c r="AC15" s="72">
        <f t="shared" si="3"/>
        <v>180324.49000000002</v>
      </c>
    </row>
    <row r="16" spans="1:29" ht="18" x14ac:dyDescent="0.35">
      <c r="A16" s="66">
        <v>13</v>
      </c>
      <c r="B16" s="60" t="s">
        <v>15</v>
      </c>
      <c r="C16" s="47" t="s">
        <v>32</v>
      </c>
      <c r="D16" s="70">
        <v>34000</v>
      </c>
      <c r="E16" s="70">
        <v>178398.46</v>
      </c>
      <c r="F16" s="70">
        <v>35000</v>
      </c>
      <c r="G16" s="70">
        <v>186687.62</v>
      </c>
      <c r="H16" s="70">
        <v>30000</v>
      </c>
      <c r="I16" s="70">
        <v>153647.85999999999</v>
      </c>
      <c r="J16" s="70">
        <v>27000</v>
      </c>
      <c r="K16" s="70">
        <v>159185.92000000001</v>
      </c>
      <c r="L16" s="70">
        <v>26000</v>
      </c>
      <c r="M16" s="70">
        <v>153762.68</v>
      </c>
      <c r="N16" s="70">
        <v>32000</v>
      </c>
      <c r="O16" s="70">
        <v>188040.97</v>
      </c>
      <c r="P16" s="70">
        <v>31000</v>
      </c>
      <c r="Q16" s="70">
        <v>180373.98</v>
      </c>
      <c r="R16" s="70">
        <v>40000</v>
      </c>
      <c r="S16" s="70">
        <v>208782.02</v>
      </c>
      <c r="T16" s="70">
        <v>34000</v>
      </c>
      <c r="U16" s="70">
        <v>181818.58</v>
      </c>
      <c r="V16" s="70">
        <v>32000</v>
      </c>
      <c r="W16" s="70">
        <v>168211.1</v>
      </c>
      <c r="X16" s="70">
        <v>37000</v>
      </c>
      <c r="Y16" s="70">
        <v>194083.3</v>
      </c>
      <c r="Z16" s="70">
        <v>37000</v>
      </c>
      <c r="AA16" s="70">
        <v>183767.76</v>
      </c>
      <c r="AB16" s="72">
        <f t="shared" si="2"/>
        <v>395000</v>
      </c>
      <c r="AC16" s="72">
        <f t="shared" si="3"/>
        <v>2136760.25</v>
      </c>
    </row>
    <row r="17" spans="1:29" ht="18" x14ac:dyDescent="0.35">
      <c r="A17" s="66">
        <v>14</v>
      </c>
      <c r="B17" s="60" t="s">
        <v>16</v>
      </c>
      <c r="C17" s="47" t="s">
        <v>33</v>
      </c>
      <c r="D17" s="70">
        <v>95000</v>
      </c>
      <c r="E17" s="70">
        <v>520748.68</v>
      </c>
      <c r="F17" s="70">
        <v>104000</v>
      </c>
      <c r="G17" s="70">
        <v>594026.66</v>
      </c>
      <c r="H17" s="70">
        <v>82000</v>
      </c>
      <c r="I17" s="70">
        <v>475819.99</v>
      </c>
      <c r="J17" s="70">
        <v>82000</v>
      </c>
      <c r="K17" s="70">
        <v>526025.18000000005</v>
      </c>
      <c r="L17" s="70">
        <v>91000</v>
      </c>
      <c r="M17" s="70">
        <v>575561.54</v>
      </c>
      <c r="N17" s="70">
        <v>107000</v>
      </c>
      <c r="O17" s="70">
        <v>671200</v>
      </c>
      <c r="P17" s="70">
        <v>99000</v>
      </c>
      <c r="Q17" s="70">
        <v>621794</v>
      </c>
      <c r="R17" s="70">
        <v>112000</v>
      </c>
      <c r="S17" s="70">
        <v>624171.75</v>
      </c>
      <c r="T17" s="70">
        <v>94000</v>
      </c>
      <c r="U17" s="70">
        <v>533389.02</v>
      </c>
      <c r="V17" s="70">
        <v>87000</v>
      </c>
      <c r="W17" s="70">
        <v>493973.38</v>
      </c>
      <c r="X17" s="70">
        <v>113000</v>
      </c>
      <c r="Y17" s="70">
        <v>627174.24</v>
      </c>
      <c r="Z17" s="70">
        <v>116000</v>
      </c>
      <c r="AA17" s="70">
        <v>595466.81000000006</v>
      </c>
      <c r="AB17" s="72">
        <f t="shared" si="2"/>
        <v>1182000</v>
      </c>
      <c r="AC17" s="72">
        <f t="shared" si="3"/>
        <v>6859351.25</v>
      </c>
    </row>
    <row r="18" spans="1:29" ht="18" x14ac:dyDescent="0.35">
      <c r="A18" s="66">
        <v>15</v>
      </c>
      <c r="B18" s="60" t="s">
        <v>17</v>
      </c>
      <c r="C18" s="47" t="s">
        <v>34</v>
      </c>
      <c r="D18" s="70">
        <v>136000</v>
      </c>
      <c r="E18" s="70">
        <v>752004.84</v>
      </c>
      <c r="F18" s="70">
        <v>144000</v>
      </c>
      <c r="G18" s="70">
        <v>805598.84</v>
      </c>
      <c r="H18" s="70">
        <v>107000</v>
      </c>
      <c r="I18" s="70">
        <v>583845.77</v>
      </c>
      <c r="J18" s="70">
        <v>111000</v>
      </c>
      <c r="K18" s="70">
        <v>678609.09</v>
      </c>
      <c r="L18" s="70">
        <v>123000</v>
      </c>
      <c r="M18" s="70">
        <v>778329.32</v>
      </c>
      <c r="N18" s="70">
        <v>161000</v>
      </c>
      <c r="O18" s="70">
        <v>994845.51</v>
      </c>
      <c r="P18" s="70">
        <v>157000</v>
      </c>
      <c r="Q18" s="70">
        <v>946952.93</v>
      </c>
      <c r="R18" s="70">
        <v>178000</v>
      </c>
      <c r="S18" s="70">
        <v>962044.21</v>
      </c>
      <c r="T18" s="70">
        <v>154000</v>
      </c>
      <c r="U18" s="70">
        <v>834990.57</v>
      </c>
      <c r="V18" s="70">
        <v>146000</v>
      </c>
      <c r="W18" s="70">
        <v>784843.72</v>
      </c>
      <c r="X18" s="70">
        <v>177000</v>
      </c>
      <c r="Y18" s="70">
        <v>988023.83</v>
      </c>
      <c r="Z18" s="70">
        <v>165000</v>
      </c>
      <c r="AA18" s="70">
        <v>845257.04</v>
      </c>
      <c r="AB18" s="72">
        <f t="shared" si="2"/>
        <v>1759000</v>
      </c>
      <c r="AC18" s="72">
        <f t="shared" si="3"/>
        <v>9955345.6699999981</v>
      </c>
    </row>
    <row r="19" spans="1:29" ht="18" x14ac:dyDescent="0.35">
      <c r="A19" s="66">
        <v>16</v>
      </c>
      <c r="B19" s="60" t="s">
        <v>18</v>
      </c>
      <c r="C19" s="47" t="s">
        <v>36</v>
      </c>
      <c r="D19" s="70">
        <v>98000</v>
      </c>
      <c r="E19" s="70">
        <v>516241.69</v>
      </c>
      <c r="F19" s="70">
        <v>112000</v>
      </c>
      <c r="G19" s="70">
        <v>604194.59</v>
      </c>
      <c r="H19" s="70">
        <v>87000</v>
      </c>
      <c r="I19" s="70">
        <v>476300.98</v>
      </c>
      <c r="J19" s="70">
        <v>92000</v>
      </c>
      <c r="K19" s="70">
        <v>573542.36</v>
      </c>
      <c r="L19" s="70">
        <v>104000</v>
      </c>
      <c r="M19" s="70">
        <v>633422.59</v>
      </c>
      <c r="N19" s="70">
        <v>133000</v>
      </c>
      <c r="O19" s="73">
        <v>811590.98</v>
      </c>
      <c r="P19" s="70">
        <v>119000</v>
      </c>
      <c r="Q19" s="70">
        <v>726927.06</v>
      </c>
      <c r="R19" s="70">
        <v>145000</v>
      </c>
      <c r="S19" s="70">
        <v>803855.65</v>
      </c>
      <c r="T19" s="70">
        <v>115000</v>
      </c>
      <c r="U19" s="70">
        <v>619985.21</v>
      </c>
      <c r="V19" s="71">
        <v>113000</v>
      </c>
      <c r="W19" s="70">
        <v>597070.25</v>
      </c>
      <c r="X19" s="71">
        <v>165000</v>
      </c>
      <c r="Y19" s="70">
        <v>922261.27</v>
      </c>
      <c r="Z19" s="70">
        <v>164000</v>
      </c>
      <c r="AA19" s="70">
        <v>851317.12</v>
      </c>
      <c r="AB19" s="72">
        <f t="shared" si="2"/>
        <v>1447000</v>
      </c>
      <c r="AC19" s="72">
        <f t="shared" si="3"/>
        <v>8136709.7500000009</v>
      </c>
    </row>
    <row r="20" spans="1:29" ht="18" x14ac:dyDescent="0.35">
      <c r="A20" s="66">
        <v>17</v>
      </c>
      <c r="B20" s="60" t="s">
        <v>20</v>
      </c>
      <c r="C20" s="47" t="s">
        <v>23</v>
      </c>
      <c r="D20" s="70">
        <v>75000</v>
      </c>
      <c r="E20" s="75">
        <v>348637.08</v>
      </c>
      <c r="F20" s="70">
        <v>78000</v>
      </c>
      <c r="G20" s="75">
        <v>368117.97</v>
      </c>
      <c r="H20" s="70">
        <v>58000</v>
      </c>
      <c r="I20" s="75">
        <v>272778.15999999997</v>
      </c>
      <c r="J20" s="70">
        <v>54000</v>
      </c>
      <c r="K20" s="75">
        <v>295424.2</v>
      </c>
      <c r="L20" s="70">
        <v>73000</v>
      </c>
      <c r="M20" s="75">
        <v>392557.77</v>
      </c>
      <c r="N20" s="70">
        <v>94000</v>
      </c>
      <c r="O20" s="75">
        <v>499147.49</v>
      </c>
      <c r="P20" s="70">
        <v>96000</v>
      </c>
      <c r="Q20" s="75">
        <v>503579.21</v>
      </c>
      <c r="R20" s="70">
        <v>110000</v>
      </c>
      <c r="S20" s="75">
        <v>503452.55</v>
      </c>
      <c r="T20" s="70">
        <v>62000</v>
      </c>
      <c r="U20" s="75">
        <v>301131.19</v>
      </c>
      <c r="V20" s="70">
        <v>69000</v>
      </c>
      <c r="W20" s="75">
        <v>327479.03999999998</v>
      </c>
      <c r="X20" s="70">
        <v>105000</v>
      </c>
      <c r="Y20" s="75">
        <v>487773.26</v>
      </c>
      <c r="Z20" s="70">
        <v>95000</v>
      </c>
      <c r="AA20" s="75">
        <v>410190.04</v>
      </c>
      <c r="AB20" s="72">
        <f t="shared" si="2"/>
        <v>969000</v>
      </c>
      <c r="AC20" s="72">
        <f t="shared" si="3"/>
        <v>4710267.96</v>
      </c>
    </row>
    <row r="21" spans="1:29" ht="18" x14ac:dyDescent="0.35">
      <c r="A21" s="61"/>
      <c r="B21" s="62" t="s">
        <v>24</v>
      </c>
      <c r="C21" s="63"/>
      <c r="D21" s="105">
        <f>SUM(D6:D20)</f>
        <v>1263713</v>
      </c>
      <c r="E21" s="105">
        <f t="shared" ref="E21:S21" si="4">SUM(E6:E20)</f>
        <v>6633634.1400000006</v>
      </c>
      <c r="F21" s="105">
        <f t="shared" si="4"/>
        <v>1342872</v>
      </c>
      <c r="G21" s="105">
        <f t="shared" si="4"/>
        <v>7249847.8499999996</v>
      </c>
      <c r="H21" s="105">
        <f t="shared" si="4"/>
        <v>1099199</v>
      </c>
      <c r="I21" s="105">
        <f t="shared" si="4"/>
        <v>5854198.370000001</v>
      </c>
      <c r="J21" s="105">
        <f t="shared" si="4"/>
        <v>1123486</v>
      </c>
      <c r="K21" s="105">
        <f t="shared" si="4"/>
        <v>6805374.6899999995</v>
      </c>
      <c r="L21" s="105">
        <f t="shared" si="4"/>
        <v>1256359</v>
      </c>
      <c r="M21" s="105">
        <f t="shared" si="4"/>
        <v>7661295.709999999</v>
      </c>
      <c r="N21" s="105">
        <f t="shared" si="4"/>
        <v>1561044</v>
      </c>
      <c r="O21" s="105">
        <f t="shared" si="4"/>
        <v>9450021.9100000001</v>
      </c>
      <c r="P21" s="105">
        <f t="shared" si="4"/>
        <v>1466938</v>
      </c>
      <c r="Q21" s="105">
        <f t="shared" si="4"/>
        <v>8803096.6400000006</v>
      </c>
      <c r="R21" s="105">
        <f t="shared" si="4"/>
        <v>1734214</v>
      </c>
      <c r="S21" s="105">
        <f t="shared" si="4"/>
        <v>9228412.4000000004</v>
      </c>
      <c r="T21" s="105">
        <f>SUM(T4:T20)</f>
        <v>1426209</v>
      </c>
      <c r="U21" s="105">
        <f t="shared" ref="U21:AC21" si="5">SUM(U4:U20)</f>
        <v>7652239.3100000005</v>
      </c>
      <c r="V21" s="105">
        <f t="shared" si="5"/>
        <v>1388019</v>
      </c>
      <c r="W21" s="105">
        <f t="shared" si="5"/>
        <v>7350970.9999999991</v>
      </c>
      <c r="X21" s="105">
        <f t="shared" si="5"/>
        <v>1656352</v>
      </c>
      <c r="Y21" s="105">
        <f t="shared" si="5"/>
        <v>8930553.1400000006</v>
      </c>
      <c r="Z21" s="105">
        <f t="shared" si="5"/>
        <v>1588392</v>
      </c>
      <c r="AA21" s="105">
        <f t="shared" si="5"/>
        <v>8024522.9799999995</v>
      </c>
      <c r="AB21" s="105">
        <f t="shared" si="5"/>
        <v>16906797</v>
      </c>
      <c r="AC21" s="105">
        <f t="shared" si="5"/>
        <v>93644168.139999986</v>
      </c>
    </row>
    <row r="22" spans="1:29" ht="18" x14ac:dyDescent="0.35"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74"/>
      <c r="AC22" s="110"/>
    </row>
    <row r="23" spans="1:29" x14ac:dyDescent="0.25">
      <c r="T23" s="104">
        <f>+T21-1426209</f>
        <v>0</v>
      </c>
    </row>
    <row r="24" spans="1:29" ht="18" x14ac:dyDescent="0.35">
      <c r="A24" s="199" t="s">
        <v>64</v>
      </c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</row>
    <row r="25" spans="1:29" ht="18" x14ac:dyDescent="0.25">
      <c r="A25" s="204" t="s">
        <v>0</v>
      </c>
      <c r="B25" s="204" t="s">
        <v>77</v>
      </c>
      <c r="C25" s="206" t="s">
        <v>2</v>
      </c>
      <c r="D25" s="197" t="s">
        <v>65</v>
      </c>
      <c r="E25" s="198"/>
      <c r="F25" s="197" t="s">
        <v>66</v>
      </c>
      <c r="G25" s="198"/>
      <c r="H25" s="197" t="s">
        <v>67</v>
      </c>
      <c r="I25" s="198"/>
      <c r="J25" s="197" t="s">
        <v>68</v>
      </c>
      <c r="K25" s="198"/>
      <c r="L25" s="197" t="s">
        <v>69</v>
      </c>
      <c r="M25" s="198"/>
      <c r="N25" s="197" t="s">
        <v>70</v>
      </c>
      <c r="O25" s="198"/>
      <c r="P25" s="197" t="s">
        <v>71</v>
      </c>
      <c r="Q25" s="198"/>
      <c r="R25" s="197" t="s">
        <v>72</v>
      </c>
      <c r="S25" s="198"/>
      <c r="T25" s="197" t="s">
        <v>73</v>
      </c>
      <c r="U25" s="198"/>
      <c r="V25" s="197" t="s">
        <v>74</v>
      </c>
      <c r="W25" s="198"/>
      <c r="X25" s="197" t="s">
        <v>75</v>
      </c>
      <c r="Y25" s="198"/>
      <c r="Z25" s="197" t="s">
        <v>76</v>
      </c>
      <c r="AA25" s="198"/>
      <c r="AB25" s="195" t="s">
        <v>24</v>
      </c>
      <c r="AC25" s="196"/>
    </row>
    <row r="26" spans="1:29" ht="18" x14ac:dyDescent="0.25">
      <c r="A26" s="205"/>
      <c r="B26" s="205"/>
      <c r="C26" s="207"/>
      <c r="D26" s="6" t="s">
        <v>3</v>
      </c>
      <c r="E26" s="6" t="s">
        <v>39</v>
      </c>
      <c r="F26" s="6" t="s">
        <v>3</v>
      </c>
      <c r="G26" s="6" t="s">
        <v>39</v>
      </c>
      <c r="H26" s="6" t="s">
        <v>3</v>
      </c>
      <c r="I26" s="6" t="s">
        <v>39</v>
      </c>
      <c r="J26" s="6" t="s">
        <v>3</v>
      </c>
      <c r="K26" s="6" t="s">
        <v>39</v>
      </c>
      <c r="L26" s="6" t="s">
        <v>3</v>
      </c>
      <c r="M26" s="6" t="s">
        <v>39</v>
      </c>
      <c r="N26" s="6" t="s">
        <v>3</v>
      </c>
      <c r="O26" s="6" t="s">
        <v>39</v>
      </c>
      <c r="P26" s="6" t="s">
        <v>3</v>
      </c>
      <c r="Q26" s="6" t="s">
        <v>39</v>
      </c>
      <c r="R26" s="6" t="s">
        <v>3</v>
      </c>
      <c r="S26" s="6" t="s">
        <v>39</v>
      </c>
      <c r="T26" s="6" t="s">
        <v>3</v>
      </c>
      <c r="U26" s="6" t="s">
        <v>39</v>
      </c>
      <c r="V26" s="6" t="s">
        <v>3</v>
      </c>
      <c r="W26" s="6" t="s">
        <v>39</v>
      </c>
      <c r="X26" s="6" t="s">
        <v>3</v>
      </c>
      <c r="Y26" s="6" t="s">
        <v>39</v>
      </c>
      <c r="Z26" s="6" t="s">
        <v>3</v>
      </c>
      <c r="AA26" s="6" t="s">
        <v>39</v>
      </c>
      <c r="AB26" s="6" t="s">
        <v>3</v>
      </c>
      <c r="AC26" s="6" t="s">
        <v>39</v>
      </c>
    </row>
    <row r="27" spans="1:29" ht="18" x14ac:dyDescent="0.35">
      <c r="A27" s="66">
        <v>1</v>
      </c>
      <c r="B27" s="37" t="s">
        <v>42</v>
      </c>
      <c r="C27" s="38" t="s">
        <v>43</v>
      </c>
      <c r="D27" s="45">
        <v>637</v>
      </c>
      <c r="E27" s="45">
        <v>7308.26</v>
      </c>
      <c r="F27" s="45">
        <v>879</v>
      </c>
      <c r="G27" s="45">
        <v>8103.02</v>
      </c>
      <c r="H27" s="45">
        <v>801</v>
      </c>
      <c r="I27" s="45">
        <v>8062.31</v>
      </c>
      <c r="J27" s="45">
        <v>977</v>
      </c>
      <c r="K27" s="45">
        <v>7902.05</v>
      </c>
      <c r="L27" s="45">
        <v>1093</v>
      </c>
      <c r="M27" s="45">
        <v>4209.1400000000003</v>
      </c>
      <c r="N27" s="45">
        <v>1019</v>
      </c>
      <c r="O27" s="45">
        <v>3946.8</v>
      </c>
      <c r="P27" s="45">
        <v>736</v>
      </c>
      <c r="Q27" s="45">
        <v>2943.46</v>
      </c>
      <c r="R27" s="46">
        <v>807</v>
      </c>
      <c r="S27" s="46">
        <v>3195.18</v>
      </c>
      <c r="T27" s="46">
        <v>600</v>
      </c>
      <c r="U27" s="46">
        <v>2461.3000000000002</v>
      </c>
      <c r="V27" s="107">
        <v>725</v>
      </c>
      <c r="W27" s="120">
        <v>2904.46</v>
      </c>
      <c r="X27" s="46">
        <v>931</v>
      </c>
      <c r="Y27" s="46">
        <v>3634.8</v>
      </c>
      <c r="Z27" s="46">
        <v>835</v>
      </c>
      <c r="AA27" s="46">
        <v>3294.46</v>
      </c>
      <c r="AB27" s="78">
        <f>+D27+F27+H27+J27+L27+N27+P27+R27+T27+V27+X27+Z27</f>
        <v>10040</v>
      </c>
      <c r="AC27" s="78">
        <f>+E27+G27+I27+K27+M27+O27+Q27+S27+U27+W27+Y27+AA27</f>
        <v>57965.240000000005</v>
      </c>
    </row>
    <row r="28" spans="1:29" ht="18" x14ac:dyDescent="0.35">
      <c r="A28" s="66">
        <v>2</v>
      </c>
      <c r="B28" s="37" t="s">
        <v>44</v>
      </c>
      <c r="C28" s="38" t="s">
        <v>45</v>
      </c>
      <c r="D28" s="45">
        <v>0</v>
      </c>
      <c r="E28" s="45">
        <v>334.1</v>
      </c>
      <c r="F28" s="45">
        <v>0</v>
      </c>
      <c r="G28" s="45">
        <v>334.1</v>
      </c>
      <c r="H28" s="45">
        <v>0</v>
      </c>
      <c r="I28" s="45">
        <v>334.1</v>
      </c>
      <c r="J28" s="45">
        <v>0</v>
      </c>
      <c r="K28" s="45">
        <v>334.1</v>
      </c>
      <c r="L28" s="45">
        <v>23</v>
      </c>
      <c r="M28" s="45">
        <v>1546.76</v>
      </c>
      <c r="N28" s="45">
        <v>313</v>
      </c>
      <c r="O28" s="45">
        <v>40786.660000000003</v>
      </c>
      <c r="P28" s="45">
        <v>112</v>
      </c>
      <c r="Q28" s="45">
        <v>24242.2</v>
      </c>
      <c r="R28" s="46">
        <v>19</v>
      </c>
      <c r="S28" s="46">
        <v>403.03</v>
      </c>
      <c r="T28" s="46">
        <v>213</v>
      </c>
      <c r="U28" s="46">
        <v>27635.79</v>
      </c>
      <c r="V28" s="107">
        <v>85</v>
      </c>
      <c r="W28" s="120">
        <v>27581.39</v>
      </c>
      <c r="X28" s="46">
        <v>1997</v>
      </c>
      <c r="Y28" s="46">
        <v>47138.78</v>
      </c>
      <c r="Z28" s="46">
        <v>1182</v>
      </c>
      <c r="AA28" s="46">
        <v>33888.910000000003</v>
      </c>
      <c r="AB28" s="78">
        <f t="shared" ref="AB28:AB42" si="6">+D28+F28+H28+J28+L28+N28+P28+R28+T28+V28+X28+Z28</f>
        <v>3944</v>
      </c>
      <c r="AC28" s="78">
        <f t="shared" ref="AC28:AC42" si="7">+E28+G28+I28+K28+M28+O28+Q28+S28+U28+W28+Y28+AA28</f>
        <v>204559.92</v>
      </c>
    </row>
    <row r="29" spans="1:29" ht="18" x14ac:dyDescent="0.35">
      <c r="A29" s="66">
        <v>3</v>
      </c>
      <c r="B29" s="60" t="s">
        <v>4</v>
      </c>
      <c r="C29" s="47" t="s">
        <v>25</v>
      </c>
      <c r="D29" s="79">
        <v>82000</v>
      </c>
      <c r="E29" s="77">
        <v>346794.74</v>
      </c>
      <c r="F29" s="79">
        <v>82000</v>
      </c>
      <c r="G29" s="77">
        <v>378356.4</v>
      </c>
      <c r="H29" s="79">
        <v>72000</v>
      </c>
      <c r="I29" s="77">
        <v>320651.46999999997</v>
      </c>
      <c r="J29" s="79">
        <v>82000</v>
      </c>
      <c r="K29" s="77">
        <v>390734.07</v>
      </c>
      <c r="L29" s="79">
        <v>90000</v>
      </c>
      <c r="M29" s="77">
        <v>442701.43</v>
      </c>
      <c r="N29" s="79">
        <v>103000</v>
      </c>
      <c r="O29" s="77">
        <v>491080.97</v>
      </c>
      <c r="P29" s="79">
        <v>101000</v>
      </c>
      <c r="Q29" s="77">
        <v>494899.97</v>
      </c>
      <c r="R29" s="47">
        <v>103000</v>
      </c>
      <c r="S29" s="48">
        <v>490117.34</v>
      </c>
      <c r="T29" s="47">
        <v>84000</v>
      </c>
      <c r="U29" s="48">
        <v>394185.07</v>
      </c>
      <c r="V29" s="47">
        <v>77000</v>
      </c>
      <c r="W29" s="48">
        <v>378012.86</v>
      </c>
      <c r="X29" s="47">
        <v>99000</v>
      </c>
      <c r="Y29" s="48">
        <v>480118.19</v>
      </c>
      <c r="Z29" s="47">
        <v>90000</v>
      </c>
      <c r="AA29" s="48">
        <v>438055.69</v>
      </c>
      <c r="AB29" s="78">
        <f t="shared" si="6"/>
        <v>1065000</v>
      </c>
      <c r="AC29" s="78">
        <f t="shared" si="7"/>
        <v>5045708.2</v>
      </c>
    </row>
    <row r="30" spans="1:29" ht="18" x14ac:dyDescent="0.35">
      <c r="A30" s="66">
        <v>4</v>
      </c>
      <c r="B30" s="60" t="s">
        <v>5</v>
      </c>
      <c r="C30" s="2" t="s">
        <v>48</v>
      </c>
      <c r="D30" s="79">
        <v>184000</v>
      </c>
      <c r="E30" s="77">
        <v>737448.56</v>
      </c>
      <c r="F30" s="79">
        <v>182000</v>
      </c>
      <c r="G30" s="81">
        <v>837587.46</v>
      </c>
      <c r="H30" s="79">
        <v>151000</v>
      </c>
      <c r="I30" s="77">
        <v>676542.67</v>
      </c>
      <c r="J30" s="79">
        <v>167000</v>
      </c>
      <c r="K30" s="77">
        <v>796218.06</v>
      </c>
      <c r="L30" s="79">
        <v>186000</v>
      </c>
      <c r="M30" s="77">
        <v>905740.88</v>
      </c>
      <c r="N30" s="79">
        <v>220000</v>
      </c>
      <c r="O30" s="77">
        <v>1048920.1499999999</v>
      </c>
      <c r="P30" s="79">
        <v>223000</v>
      </c>
      <c r="Q30" s="77">
        <v>1085846.18</v>
      </c>
      <c r="R30" s="47">
        <v>237000</v>
      </c>
      <c r="S30" s="48">
        <v>1115848.97</v>
      </c>
      <c r="T30" s="47">
        <v>187000</v>
      </c>
      <c r="U30" s="48">
        <v>869935.06</v>
      </c>
      <c r="V30" s="47">
        <v>190000</v>
      </c>
      <c r="W30" s="48">
        <v>903271.36</v>
      </c>
      <c r="X30" s="47">
        <v>219000</v>
      </c>
      <c r="Y30" s="106">
        <v>1057278.26</v>
      </c>
      <c r="Z30" s="47">
        <v>196000</v>
      </c>
      <c r="AA30" s="48">
        <v>936902.88</v>
      </c>
      <c r="AB30" s="78">
        <f t="shared" si="6"/>
        <v>2342000</v>
      </c>
      <c r="AC30" s="78">
        <f t="shared" si="7"/>
        <v>10971540.489999998</v>
      </c>
    </row>
    <row r="31" spans="1:29" ht="18" x14ac:dyDescent="0.35">
      <c r="A31" s="66">
        <v>5</v>
      </c>
      <c r="B31" s="60" t="s">
        <v>6</v>
      </c>
      <c r="C31" s="2" t="s">
        <v>49</v>
      </c>
      <c r="D31" s="79">
        <v>158000</v>
      </c>
      <c r="E31" s="77">
        <v>639142.02</v>
      </c>
      <c r="F31" s="79">
        <v>158000</v>
      </c>
      <c r="G31" s="77">
        <v>735994.16</v>
      </c>
      <c r="H31" s="79">
        <v>124000</v>
      </c>
      <c r="I31" s="77">
        <v>594110.81000000006</v>
      </c>
      <c r="J31" s="79">
        <v>146000</v>
      </c>
      <c r="K31" s="77">
        <v>724823.09</v>
      </c>
      <c r="L31" s="79">
        <v>169000</v>
      </c>
      <c r="M31" s="77">
        <v>847680.49</v>
      </c>
      <c r="N31" s="79">
        <v>209000</v>
      </c>
      <c r="O31" s="77">
        <v>989233</v>
      </c>
      <c r="P31" s="79">
        <v>184000</v>
      </c>
      <c r="Q31" s="77">
        <v>910461.31</v>
      </c>
      <c r="R31" s="47">
        <v>190000</v>
      </c>
      <c r="S31" s="48">
        <v>891325.43999999994</v>
      </c>
      <c r="T31" s="47">
        <v>140000</v>
      </c>
      <c r="U31" s="48">
        <v>655430.18999999994</v>
      </c>
      <c r="V31" s="106">
        <v>152000</v>
      </c>
      <c r="W31" s="48">
        <v>744515.58</v>
      </c>
      <c r="X31" s="47">
        <v>190000</v>
      </c>
      <c r="Y31" s="48">
        <v>923010.02</v>
      </c>
      <c r="Z31" s="47">
        <v>176000</v>
      </c>
      <c r="AA31" s="48">
        <v>857007.58</v>
      </c>
      <c r="AB31" s="78">
        <f t="shared" si="6"/>
        <v>1996000</v>
      </c>
      <c r="AC31" s="78">
        <f t="shared" si="7"/>
        <v>9512733.6899999995</v>
      </c>
    </row>
    <row r="32" spans="1:29" ht="18" x14ac:dyDescent="0.35">
      <c r="A32" s="66">
        <v>6</v>
      </c>
      <c r="B32" s="60" t="s">
        <v>8</v>
      </c>
      <c r="C32" s="47" t="s">
        <v>26</v>
      </c>
      <c r="D32" s="79">
        <v>74000</v>
      </c>
      <c r="E32" s="79">
        <v>279734.59000000003</v>
      </c>
      <c r="F32" s="79">
        <v>71000</v>
      </c>
      <c r="G32" s="79">
        <v>310360.37</v>
      </c>
      <c r="H32" s="79">
        <v>63000</v>
      </c>
      <c r="I32" s="79">
        <v>277613.08</v>
      </c>
      <c r="J32" s="79">
        <v>68000</v>
      </c>
      <c r="K32" s="79">
        <v>311393.53999999998</v>
      </c>
      <c r="L32" s="79">
        <v>74000</v>
      </c>
      <c r="M32" s="80">
        <v>335463.3</v>
      </c>
      <c r="N32" s="79">
        <v>85000</v>
      </c>
      <c r="O32" s="79">
        <v>381956.43</v>
      </c>
      <c r="P32" s="79">
        <v>82000</v>
      </c>
      <c r="Q32" s="79">
        <v>379403.29</v>
      </c>
      <c r="R32" s="47">
        <v>96000</v>
      </c>
      <c r="S32" s="47">
        <v>433680.26</v>
      </c>
      <c r="T32" s="47">
        <v>89000</v>
      </c>
      <c r="U32" s="47">
        <v>402306.73</v>
      </c>
      <c r="V32" s="47">
        <v>81000</v>
      </c>
      <c r="W32" s="47">
        <v>378025.37</v>
      </c>
      <c r="X32" s="47">
        <v>91000</v>
      </c>
      <c r="Y32" s="47">
        <v>414796.75</v>
      </c>
      <c r="Z32" s="47">
        <v>80000</v>
      </c>
      <c r="AA32" s="47">
        <v>363657.87</v>
      </c>
      <c r="AB32" s="78">
        <f t="shared" si="6"/>
        <v>954000</v>
      </c>
      <c r="AC32" s="78">
        <f t="shared" si="7"/>
        <v>4268391.58</v>
      </c>
    </row>
    <row r="33" spans="1:29" ht="18" x14ac:dyDescent="0.35">
      <c r="A33" s="66">
        <v>7</v>
      </c>
      <c r="B33" s="60" t="s">
        <v>9</v>
      </c>
      <c r="C33" s="47" t="s">
        <v>27</v>
      </c>
      <c r="D33" s="79">
        <v>36000</v>
      </c>
      <c r="E33" s="79">
        <v>143730.76</v>
      </c>
      <c r="F33" s="79">
        <v>36000</v>
      </c>
      <c r="G33" s="79">
        <v>166197.28</v>
      </c>
      <c r="H33" s="79">
        <v>35000</v>
      </c>
      <c r="I33" s="79">
        <v>157709.04</v>
      </c>
      <c r="J33" s="79">
        <v>40000</v>
      </c>
      <c r="K33" s="79">
        <v>190687.42</v>
      </c>
      <c r="L33" s="79">
        <v>42000</v>
      </c>
      <c r="M33" s="79">
        <v>201218.15</v>
      </c>
      <c r="N33" s="79">
        <v>51000</v>
      </c>
      <c r="O33" s="79">
        <v>238871.37</v>
      </c>
      <c r="P33" s="79">
        <v>45000</v>
      </c>
      <c r="Q33" s="79">
        <v>217930.78</v>
      </c>
      <c r="R33" s="47">
        <v>47000</v>
      </c>
      <c r="S33" s="47">
        <v>224210.48</v>
      </c>
      <c r="T33" s="47">
        <v>41000</v>
      </c>
      <c r="U33" s="47">
        <v>193345.45</v>
      </c>
      <c r="V33" s="47">
        <v>37000</v>
      </c>
      <c r="W33" s="47">
        <v>175823.84</v>
      </c>
      <c r="X33" s="47">
        <v>43000</v>
      </c>
      <c r="Y33" s="47">
        <v>203006.77</v>
      </c>
      <c r="Z33" s="47">
        <v>41000</v>
      </c>
      <c r="AA33" s="47">
        <v>192476.03</v>
      </c>
      <c r="AB33" s="78">
        <f t="shared" si="6"/>
        <v>494000</v>
      </c>
      <c r="AC33" s="78">
        <f t="shared" si="7"/>
        <v>2305207.3699999996</v>
      </c>
    </row>
    <row r="34" spans="1:29" ht="18" x14ac:dyDescent="0.35">
      <c r="A34" s="66">
        <v>8</v>
      </c>
      <c r="B34" s="60" t="s">
        <v>10</v>
      </c>
      <c r="C34" s="47" t="s">
        <v>28</v>
      </c>
      <c r="D34" s="79">
        <v>100000</v>
      </c>
      <c r="E34" s="79">
        <v>444201.77</v>
      </c>
      <c r="F34" s="79">
        <v>98000</v>
      </c>
      <c r="G34" s="79">
        <v>491387.68</v>
      </c>
      <c r="H34" s="79">
        <v>84000</v>
      </c>
      <c r="I34" s="79">
        <v>424775.53</v>
      </c>
      <c r="J34" s="79">
        <v>99000</v>
      </c>
      <c r="K34" s="79">
        <v>507946.42</v>
      </c>
      <c r="L34" s="79">
        <v>97000</v>
      </c>
      <c r="M34" s="79">
        <v>511496.96000000002</v>
      </c>
      <c r="N34" s="79">
        <v>109000</v>
      </c>
      <c r="O34" s="79">
        <v>569797.36</v>
      </c>
      <c r="P34" s="79">
        <v>107000</v>
      </c>
      <c r="Q34" s="79">
        <v>571893.54</v>
      </c>
      <c r="R34" s="47">
        <v>112000</v>
      </c>
      <c r="S34" s="47">
        <v>582306.97</v>
      </c>
      <c r="T34" s="47">
        <v>97000</v>
      </c>
      <c r="U34" s="47">
        <v>509237.2</v>
      </c>
      <c r="V34" s="47">
        <v>103000</v>
      </c>
      <c r="W34" s="106">
        <v>536087.63</v>
      </c>
      <c r="X34" s="121">
        <v>109000</v>
      </c>
      <c r="Y34" s="47">
        <v>564977.38</v>
      </c>
      <c r="Z34" s="47">
        <v>101000</v>
      </c>
      <c r="AA34" s="47">
        <v>526979.25</v>
      </c>
      <c r="AB34" s="78">
        <f t="shared" si="6"/>
        <v>1216000</v>
      </c>
      <c r="AC34" s="78">
        <f t="shared" si="7"/>
        <v>6241087.6899999995</v>
      </c>
    </row>
    <row r="35" spans="1:29" ht="18" x14ac:dyDescent="0.35">
      <c r="A35" s="66">
        <v>9</v>
      </c>
      <c r="B35" s="60" t="s">
        <v>11</v>
      </c>
      <c r="C35" s="47" t="s">
        <v>29</v>
      </c>
      <c r="D35" s="79">
        <v>85000</v>
      </c>
      <c r="E35" s="79">
        <v>352477.07</v>
      </c>
      <c r="F35" s="79">
        <v>86000</v>
      </c>
      <c r="G35" s="79">
        <v>410319.88</v>
      </c>
      <c r="H35" s="79">
        <v>66000</v>
      </c>
      <c r="I35" s="79">
        <v>308420.52</v>
      </c>
      <c r="J35" s="79">
        <v>81000</v>
      </c>
      <c r="K35" s="79">
        <v>396135.42</v>
      </c>
      <c r="L35" s="79">
        <v>91000</v>
      </c>
      <c r="M35" s="79">
        <v>454272.25</v>
      </c>
      <c r="N35" s="79">
        <v>106000</v>
      </c>
      <c r="O35" s="79">
        <v>522205.54</v>
      </c>
      <c r="P35" s="79">
        <v>98000</v>
      </c>
      <c r="Q35" s="79">
        <v>499426.57</v>
      </c>
      <c r="R35" s="47">
        <v>110000</v>
      </c>
      <c r="S35" s="47">
        <v>535113.42000000004</v>
      </c>
      <c r="T35" s="47">
        <v>79000</v>
      </c>
      <c r="U35" s="47">
        <v>390362.47</v>
      </c>
      <c r="V35" s="47">
        <v>74000</v>
      </c>
      <c r="W35" s="47">
        <v>364619.66</v>
      </c>
      <c r="X35" s="47">
        <v>99000</v>
      </c>
      <c r="Y35" s="47">
        <v>490120.84</v>
      </c>
      <c r="Z35" s="47">
        <v>82000</v>
      </c>
      <c r="AA35" s="47">
        <v>419858.42</v>
      </c>
      <c r="AB35" s="78">
        <f t="shared" si="6"/>
        <v>1057000</v>
      </c>
      <c r="AC35" s="78">
        <f t="shared" si="7"/>
        <v>5143332.0599999996</v>
      </c>
    </row>
    <row r="36" spans="1:29" ht="18" x14ac:dyDescent="0.35">
      <c r="A36" s="66">
        <v>10</v>
      </c>
      <c r="B36" s="60" t="s">
        <v>12</v>
      </c>
      <c r="C36" s="47" t="s">
        <v>30</v>
      </c>
      <c r="D36" s="79">
        <v>68000</v>
      </c>
      <c r="E36" s="79">
        <v>296628.26</v>
      </c>
      <c r="F36" s="79">
        <v>71000</v>
      </c>
      <c r="G36" s="79">
        <v>354846.11</v>
      </c>
      <c r="H36" s="79">
        <v>57000</v>
      </c>
      <c r="I36" s="79">
        <v>282007.64</v>
      </c>
      <c r="J36" s="79">
        <v>59000</v>
      </c>
      <c r="K36" s="79">
        <v>302786.46999999997</v>
      </c>
      <c r="L36" s="79">
        <v>68000</v>
      </c>
      <c r="M36" s="79">
        <v>354172.46</v>
      </c>
      <c r="N36" s="79">
        <v>82000</v>
      </c>
      <c r="O36" s="79">
        <v>419179.26</v>
      </c>
      <c r="P36" s="79">
        <v>74000</v>
      </c>
      <c r="Q36" s="79">
        <v>395562.89</v>
      </c>
      <c r="R36" s="47">
        <v>83000</v>
      </c>
      <c r="S36" s="47">
        <v>420557.18</v>
      </c>
      <c r="T36" s="47">
        <v>60000</v>
      </c>
      <c r="U36" s="47">
        <v>303453.21000000002</v>
      </c>
      <c r="V36" s="47">
        <v>64000</v>
      </c>
      <c r="W36" s="49">
        <v>326758.43</v>
      </c>
      <c r="X36" s="47">
        <v>90000</v>
      </c>
      <c r="Y36" s="49">
        <v>451914.69</v>
      </c>
      <c r="Z36" s="47">
        <v>78000</v>
      </c>
      <c r="AA36" s="49">
        <v>389805.95</v>
      </c>
      <c r="AB36" s="78">
        <f t="shared" si="6"/>
        <v>854000</v>
      </c>
      <c r="AC36" s="78">
        <f t="shared" si="7"/>
        <v>4297672.55</v>
      </c>
    </row>
    <row r="37" spans="1:29" ht="18" x14ac:dyDescent="0.35">
      <c r="A37" s="66">
        <v>11</v>
      </c>
      <c r="B37" s="60" t="s">
        <v>13</v>
      </c>
      <c r="C37" s="47" t="s">
        <v>31</v>
      </c>
      <c r="D37" s="79">
        <v>178000</v>
      </c>
      <c r="E37" s="79">
        <v>650380.37</v>
      </c>
      <c r="F37" s="79">
        <v>163000</v>
      </c>
      <c r="G37" s="79">
        <v>692500.64</v>
      </c>
      <c r="H37" s="79">
        <v>166000</v>
      </c>
      <c r="I37" s="79">
        <v>685777.68</v>
      </c>
      <c r="J37" s="79">
        <v>167000</v>
      </c>
      <c r="K37" s="79">
        <v>737795.11</v>
      </c>
      <c r="L37" s="79">
        <v>166000</v>
      </c>
      <c r="M37" s="79">
        <v>745345.99</v>
      </c>
      <c r="N37" s="79">
        <v>193000</v>
      </c>
      <c r="O37" s="79">
        <v>856330.35</v>
      </c>
      <c r="P37" s="79">
        <v>191000</v>
      </c>
      <c r="Q37" s="79">
        <v>868667.45</v>
      </c>
      <c r="R37" s="47">
        <v>199000</v>
      </c>
      <c r="S37" s="47">
        <v>876766.03</v>
      </c>
      <c r="T37" s="47">
        <v>173000</v>
      </c>
      <c r="U37" s="47">
        <v>758815.73</v>
      </c>
      <c r="V37" s="47">
        <v>170000</v>
      </c>
      <c r="W37" s="49">
        <v>755946.1</v>
      </c>
      <c r="X37" s="47">
        <v>199000</v>
      </c>
      <c r="Y37" s="49">
        <v>885077.86</v>
      </c>
      <c r="Z37" s="47">
        <v>184000</v>
      </c>
      <c r="AA37" s="49">
        <v>813462.46</v>
      </c>
      <c r="AB37" s="78">
        <f t="shared" si="6"/>
        <v>2149000</v>
      </c>
      <c r="AC37" s="78">
        <f t="shared" si="7"/>
        <v>9326865.7699999996</v>
      </c>
    </row>
    <row r="38" spans="1:29" ht="18" x14ac:dyDescent="0.35">
      <c r="A38" s="66">
        <v>12</v>
      </c>
      <c r="B38" s="60" t="s">
        <v>14</v>
      </c>
      <c r="C38" s="47" t="s">
        <v>35</v>
      </c>
      <c r="D38" s="79">
        <v>2273</v>
      </c>
      <c r="E38" s="79">
        <v>9679.3799999999992</v>
      </c>
      <c r="F38" s="79">
        <v>2311</v>
      </c>
      <c r="G38" s="81">
        <v>11234.1</v>
      </c>
      <c r="H38" s="79">
        <v>2203</v>
      </c>
      <c r="I38" s="79">
        <v>10699.47</v>
      </c>
      <c r="J38" s="79">
        <v>1924</v>
      </c>
      <c r="K38" s="79">
        <v>9714.4</v>
      </c>
      <c r="L38" s="79">
        <v>1542</v>
      </c>
      <c r="M38" s="79">
        <v>7744.72</v>
      </c>
      <c r="N38" s="79">
        <v>1807</v>
      </c>
      <c r="O38" s="79">
        <v>9111.1200000000008</v>
      </c>
      <c r="P38" s="79">
        <v>1960</v>
      </c>
      <c r="Q38" s="79">
        <v>9900.0300000000007</v>
      </c>
      <c r="R38" s="47">
        <v>1462</v>
      </c>
      <c r="S38" s="47">
        <v>7332.24</v>
      </c>
      <c r="T38" s="47">
        <v>1147</v>
      </c>
      <c r="U38" s="47">
        <v>5708.02</v>
      </c>
      <c r="V38" s="47">
        <v>1047</v>
      </c>
      <c r="W38" s="47">
        <v>5192.3999999999996</v>
      </c>
      <c r="X38" s="47">
        <v>1404</v>
      </c>
      <c r="Y38" s="106">
        <v>7033.17</v>
      </c>
      <c r="Z38" s="47">
        <v>1201</v>
      </c>
      <c r="AA38" s="47">
        <v>5986.46</v>
      </c>
      <c r="AB38" s="78">
        <f t="shared" si="6"/>
        <v>20281</v>
      </c>
      <c r="AC38" s="78">
        <f t="shared" si="7"/>
        <v>99335.510000000009</v>
      </c>
    </row>
    <row r="39" spans="1:29" ht="18" x14ac:dyDescent="0.35">
      <c r="A39" s="66">
        <v>13</v>
      </c>
      <c r="B39" s="60" t="s">
        <v>15</v>
      </c>
      <c r="C39" s="47" t="s">
        <v>32</v>
      </c>
      <c r="D39" s="79">
        <v>36000</v>
      </c>
      <c r="E39" s="79">
        <v>140048.65</v>
      </c>
      <c r="F39" s="79">
        <v>34000</v>
      </c>
      <c r="G39" s="79">
        <v>151969.47</v>
      </c>
      <c r="H39" s="79">
        <v>33000</v>
      </c>
      <c r="I39" s="79">
        <v>145314.28</v>
      </c>
      <c r="J39" s="79">
        <v>32000</v>
      </c>
      <c r="K39" s="79">
        <v>150730.01</v>
      </c>
      <c r="L39" s="79">
        <v>34000</v>
      </c>
      <c r="M39" s="79">
        <v>162524.85999999999</v>
      </c>
      <c r="N39" s="79">
        <v>39000</v>
      </c>
      <c r="O39" s="79">
        <v>183099.18</v>
      </c>
      <c r="P39" s="79">
        <v>41000</v>
      </c>
      <c r="Q39" s="79">
        <v>199872.26</v>
      </c>
      <c r="R39" s="47">
        <v>46000</v>
      </c>
      <c r="S39" s="47">
        <v>213066.36</v>
      </c>
      <c r="T39" s="47">
        <v>35000</v>
      </c>
      <c r="U39" s="47">
        <v>166479.01</v>
      </c>
      <c r="V39" s="47">
        <v>33000</v>
      </c>
      <c r="W39" s="47">
        <v>157464.84</v>
      </c>
      <c r="X39" s="47">
        <v>48000</v>
      </c>
      <c r="Y39" s="47">
        <v>221463.57</v>
      </c>
      <c r="Z39" s="47">
        <v>46000</v>
      </c>
      <c r="AA39" s="47">
        <v>210237.67</v>
      </c>
      <c r="AB39" s="78">
        <f t="shared" si="6"/>
        <v>457000</v>
      </c>
      <c r="AC39" s="78">
        <f t="shared" si="7"/>
        <v>2102270.16</v>
      </c>
    </row>
    <row r="40" spans="1:29" ht="18" x14ac:dyDescent="0.35">
      <c r="A40" s="66">
        <v>14</v>
      </c>
      <c r="B40" s="60" t="s">
        <v>16</v>
      </c>
      <c r="C40" s="47" t="s">
        <v>33</v>
      </c>
      <c r="D40" s="79">
        <v>111000</v>
      </c>
      <c r="E40" s="79">
        <v>458279.64</v>
      </c>
      <c r="F40" s="79">
        <v>105000</v>
      </c>
      <c r="G40" s="79">
        <v>493269.63</v>
      </c>
      <c r="H40" s="79">
        <v>88000</v>
      </c>
      <c r="I40" s="79">
        <v>411906.6</v>
      </c>
      <c r="J40" s="79">
        <v>94000</v>
      </c>
      <c r="K40" s="79">
        <v>470147.47</v>
      </c>
      <c r="L40" s="79">
        <v>103000</v>
      </c>
      <c r="M40" s="79">
        <v>503549.64</v>
      </c>
      <c r="N40" s="79">
        <v>118000</v>
      </c>
      <c r="O40" s="79">
        <v>582687.49</v>
      </c>
      <c r="P40" s="79">
        <v>105000</v>
      </c>
      <c r="Q40" s="79">
        <v>537184.66</v>
      </c>
      <c r="R40" s="47">
        <v>120000</v>
      </c>
      <c r="S40" s="47">
        <v>591795.88</v>
      </c>
      <c r="T40" s="47">
        <v>83000</v>
      </c>
      <c r="U40" s="47">
        <v>421885.31</v>
      </c>
      <c r="V40" s="47">
        <v>61000</v>
      </c>
      <c r="W40" s="47">
        <v>283702.12</v>
      </c>
      <c r="X40" s="47">
        <v>98000</v>
      </c>
      <c r="Y40" s="47">
        <v>474647.47</v>
      </c>
      <c r="Z40" s="47">
        <v>97000</v>
      </c>
      <c r="AA40" s="47">
        <v>465795.13</v>
      </c>
      <c r="AB40" s="78">
        <f t="shared" si="6"/>
        <v>1183000</v>
      </c>
      <c r="AC40" s="78">
        <f t="shared" si="7"/>
        <v>5694851.0399999991</v>
      </c>
    </row>
    <row r="41" spans="1:29" ht="18" x14ac:dyDescent="0.35">
      <c r="A41" s="66">
        <v>15</v>
      </c>
      <c r="B41" s="60" t="s">
        <v>17</v>
      </c>
      <c r="C41" s="47" t="s">
        <v>34</v>
      </c>
      <c r="D41" s="79">
        <v>162000</v>
      </c>
      <c r="E41" s="79">
        <v>702283.6</v>
      </c>
      <c r="F41" s="79">
        <v>156000</v>
      </c>
      <c r="G41" s="79">
        <v>745960.49</v>
      </c>
      <c r="H41" s="79">
        <v>128000</v>
      </c>
      <c r="I41" s="79">
        <v>612515.76</v>
      </c>
      <c r="J41" s="79">
        <v>148000</v>
      </c>
      <c r="K41" s="79">
        <v>725160.92</v>
      </c>
      <c r="L41" s="79">
        <v>165000</v>
      </c>
      <c r="M41" s="79">
        <v>831358.97</v>
      </c>
      <c r="N41" s="79">
        <v>194000</v>
      </c>
      <c r="O41" s="79">
        <v>957045.08</v>
      </c>
      <c r="P41" s="79">
        <v>201000</v>
      </c>
      <c r="Q41" s="79">
        <v>996748.27</v>
      </c>
      <c r="R41" s="47">
        <v>205000</v>
      </c>
      <c r="S41" s="47">
        <v>1003049.31</v>
      </c>
      <c r="T41" s="47">
        <v>152000</v>
      </c>
      <c r="U41" s="47">
        <v>738954.23</v>
      </c>
      <c r="V41" s="47">
        <v>158000</v>
      </c>
      <c r="W41" s="47">
        <v>776628.71</v>
      </c>
      <c r="X41" s="47">
        <v>196000</v>
      </c>
      <c r="Y41" s="47">
        <v>945340.94</v>
      </c>
      <c r="Z41" s="47">
        <v>171000</v>
      </c>
      <c r="AA41" s="47">
        <v>829543.77</v>
      </c>
      <c r="AB41" s="78">
        <f t="shared" si="6"/>
        <v>2036000</v>
      </c>
      <c r="AC41" s="78">
        <f t="shared" si="7"/>
        <v>9864590.0500000007</v>
      </c>
    </row>
    <row r="42" spans="1:29" ht="18" x14ac:dyDescent="0.35">
      <c r="A42" s="66">
        <v>16</v>
      </c>
      <c r="B42" s="60" t="s">
        <v>18</v>
      </c>
      <c r="C42" s="47" t="s">
        <v>36</v>
      </c>
      <c r="D42" s="79">
        <v>150000</v>
      </c>
      <c r="E42" s="79">
        <v>628744.11</v>
      </c>
      <c r="F42" s="79">
        <v>148000</v>
      </c>
      <c r="G42" s="79">
        <v>704536.87</v>
      </c>
      <c r="H42" s="79">
        <v>108000</v>
      </c>
      <c r="I42" s="79">
        <v>519639.42</v>
      </c>
      <c r="J42" s="79">
        <v>129000</v>
      </c>
      <c r="K42" s="79">
        <v>641839.55000000005</v>
      </c>
      <c r="L42" s="79">
        <v>120000</v>
      </c>
      <c r="M42" s="79">
        <v>604360.59</v>
      </c>
      <c r="N42" s="79">
        <v>122000</v>
      </c>
      <c r="O42" s="117">
        <v>609091.69999999995</v>
      </c>
      <c r="P42" s="79">
        <v>121000</v>
      </c>
      <c r="Q42" s="79">
        <v>607571.55000000005</v>
      </c>
      <c r="R42" s="47">
        <v>125000</v>
      </c>
      <c r="S42" s="47">
        <v>623797.03</v>
      </c>
      <c r="T42" s="47">
        <v>119000</v>
      </c>
      <c r="U42" s="47">
        <v>597768</v>
      </c>
      <c r="V42" s="106">
        <v>114000</v>
      </c>
      <c r="W42" s="47">
        <v>571568.30000000005</v>
      </c>
      <c r="X42" s="106">
        <v>173000</v>
      </c>
      <c r="Y42" s="47">
        <v>852336.91</v>
      </c>
      <c r="Z42" s="47">
        <v>162000</v>
      </c>
      <c r="AA42" s="47">
        <v>791131.36</v>
      </c>
      <c r="AB42" s="78">
        <f t="shared" si="6"/>
        <v>1591000</v>
      </c>
      <c r="AC42" s="78">
        <f t="shared" si="7"/>
        <v>7752385.3900000006</v>
      </c>
    </row>
    <row r="43" spans="1:29" ht="18" x14ac:dyDescent="0.35">
      <c r="A43" s="66">
        <v>17</v>
      </c>
      <c r="B43" s="60" t="s">
        <v>20</v>
      </c>
      <c r="C43" s="47" t="s">
        <v>23</v>
      </c>
      <c r="D43" s="79">
        <v>94000</v>
      </c>
      <c r="E43" s="77">
        <v>361826.22</v>
      </c>
      <c r="F43" s="79">
        <v>86000</v>
      </c>
      <c r="G43" s="77">
        <v>340029.21</v>
      </c>
      <c r="H43" s="79">
        <v>74000</v>
      </c>
      <c r="I43" s="77">
        <v>286885.68</v>
      </c>
      <c r="J43" s="79">
        <v>71000</v>
      </c>
      <c r="K43" s="77">
        <v>294462.31</v>
      </c>
      <c r="L43" s="79">
        <v>93000</v>
      </c>
      <c r="M43" s="77">
        <v>380068.37</v>
      </c>
      <c r="N43" s="79">
        <v>110000</v>
      </c>
      <c r="O43" s="77">
        <v>440596.6</v>
      </c>
      <c r="P43" s="79">
        <v>107000</v>
      </c>
      <c r="Q43" s="77">
        <v>439908.51</v>
      </c>
      <c r="R43" s="47">
        <v>114000</v>
      </c>
      <c r="S43" s="48">
        <v>459841.03</v>
      </c>
      <c r="T43" s="47">
        <v>50000</v>
      </c>
      <c r="U43" s="48">
        <v>207104.99</v>
      </c>
      <c r="V43" s="47">
        <v>63000</v>
      </c>
      <c r="W43" s="48">
        <v>267352.25</v>
      </c>
      <c r="X43" s="47">
        <v>105000</v>
      </c>
      <c r="Y43" s="48">
        <v>428808.83</v>
      </c>
      <c r="Z43" s="47">
        <v>94000</v>
      </c>
      <c r="AA43" s="48">
        <v>378349.12</v>
      </c>
      <c r="AB43" s="78">
        <f>+D43+F43+H43+J43+L43+N43+P43+R43+T43+V43+X43+Z43</f>
        <v>1061000</v>
      </c>
      <c r="AC43" s="78">
        <f>+E43+G43+I43+K43+M43+O43+Q43+S43+U43+W43+Y43+AA43</f>
        <v>4285233.120000001</v>
      </c>
    </row>
    <row r="44" spans="1:29" ht="18" x14ac:dyDescent="0.35">
      <c r="A44" s="61"/>
      <c r="B44" s="62" t="s">
        <v>24</v>
      </c>
      <c r="C44" s="63"/>
      <c r="D44" s="86">
        <f>SUM(D27:D43)</f>
        <v>1520910</v>
      </c>
      <c r="E44" s="86">
        <f t="shared" ref="E44:AA44" si="8">SUM(E27:E43)</f>
        <v>6199042.0999999996</v>
      </c>
      <c r="F44" s="86">
        <f t="shared" si="8"/>
        <v>1479190</v>
      </c>
      <c r="G44" s="86">
        <f t="shared" si="8"/>
        <v>6832986.8699999992</v>
      </c>
      <c r="H44" s="86">
        <f t="shared" si="8"/>
        <v>1252004</v>
      </c>
      <c r="I44" s="86">
        <f t="shared" si="8"/>
        <v>5722966.0599999996</v>
      </c>
      <c r="J44" s="86">
        <f t="shared" si="8"/>
        <v>1385901</v>
      </c>
      <c r="K44" s="86">
        <f t="shared" si="8"/>
        <v>6658810.4099999992</v>
      </c>
      <c r="L44" s="86">
        <f t="shared" si="8"/>
        <v>1500658</v>
      </c>
      <c r="M44" s="86">
        <f t="shared" si="8"/>
        <v>7293454.959999999</v>
      </c>
      <c r="N44" s="86">
        <f t="shared" si="8"/>
        <v>1744139</v>
      </c>
      <c r="O44" s="86">
        <f t="shared" si="8"/>
        <v>8343939.0599999996</v>
      </c>
      <c r="P44" s="86">
        <f t="shared" si="8"/>
        <v>1682808</v>
      </c>
      <c r="Q44" s="86">
        <f t="shared" si="8"/>
        <v>8242462.919999999</v>
      </c>
      <c r="R44" s="65">
        <f t="shared" si="8"/>
        <v>1789288</v>
      </c>
      <c r="S44" s="65">
        <f t="shared" si="8"/>
        <v>8472406.1500000004</v>
      </c>
      <c r="T44" s="65">
        <f t="shared" si="8"/>
        <v>1390960</v>
      </c>
      <c r="U44" s="65">
        <f t="shared" si="8"/>
        <v>6645067.7599999998</v>
      </c>
      <c r="V44" s="65">
        <f t="shared" si="8"/>
        <v>1378857</v>
      </c>
      <c r="W44" s="65">
        <f t="shared" si="8"/>
        <v>6655455.2999999998</v>
      </c>
      <c r="X44" s="65">
        <f t="shared" si="8"/>
        <v>1763332</v>
      </c>
      <c r="Y44" s="65">
        <f t="shared" si="8"/>
        <v>8450705.2300000004</v>
      </c>
      <c r="Z44" s="65">
        <f t="shared" si="8"/>
        <v>1601218</v>
      </c>
      <c r="AA44" s="65">
        <f t="shared" si="8"/>
        <v>7656433.0099999998</v>
      </c>
      <c r="AB44" s="86">
        <f>SUM(AB27:AB43)</f>
        <v>18489265</v>
      </c>
      <c r="AC44" s="86">
        <f>SUM(AC27:AC43)</f>
        <v>87173729.830000013</v>
      </c>
    </row>
    <row r="45" spans="1:29" ht="18" x14ac:dyDescent="0.35">
      <c r="AB45" s="82"/>
      <c r="AC45" s="111"/>
    </row>
    <row r="46" spans="1:29" ht="18" x14ac:dyDescent="0.35">
      <c r="AB46" s="82"/>
      <c r="AC46" s="111"/>
    </row>
    <row r="47" spans="1:29" ht="18" x14ac:dyDescent="0.35">
      <c r="A47" s="199" t="s">
        <v>97</v>
      </c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</row>
    <row r="48" spans="1:29" ht="18" x14ac:dyDescent="0.25">
      <c r="A48" s="204" t="s">
        <v>0</v>
      </c>
      <c r="B48" s="204" t="s">
        <v>77</v>
      </c>
      <c r="C48" s="206" t="s">
        <v>2</v>
      </c>
      <c r="D48" s="197" t="s">
        <v>98</v>
      </c>
      <c r="E48" s="198"/>
      <c r="F48" s="197" t="s">
        <v>99</v>
      </c>
      <c r="G48" s="198"/>
      <c r="H48" s="197" t="s">
        <v>100</v>
      </c>
      <c r="I48" s="198"/>
      <c r="J48" s="197" t="s">
        <v>101</v>
      </c>
      <c r="K48" s="198"/>
      <c r="L48" s="197" t="s">
        <v>102</v>
      </c>
      <c r="M48" s="198"/>
      <c r="N48" s="197" t="s">
        <v>103</v>
      </c>
      <c r="O48" s="198"/>
      <c r="P48" s="197" t="s">
        <v>104</v>
      </c>
      <c r="Q48" s="198"/>
      <c r="R48" s="197" t="s">
        <v>105</v>
      </c>
      <c r="S48" s="198"/>
      <c r="T48" s="197" t="s">
        <v>106</v>
      </c>
      <c r="U48" s="198"/>
      <c r="V48" s="197" t="s">
        <v>107</v>
      </c>
      <c r="W48" s="198"/>
      <c r="X48" s="197" t="s">
        <v>108</v>
      </c>
      <c r="Y48" s="198"/>
      <c r="Z48" s="197" t="s">
        <v>109</v>
      </c>
      <c r="AA48" s="198"/>
      <c r="AB48" s="195" t="s">
        <v>24</v>
      </c>
      <c r="AC48" s="196"/>
    </row>
    <row r="49" spans="1:29" ht="18" x14ac:dyDescent="0.25">
      <c r="A49" s="205"/>
      <c r="B49" s="205"/>
      <c r="C49" s="207"/>
      <c r="D49" s="6" t="s">
        <v>3</v>
      </c>
      <c r="E49" s="6" t="s">
        <v>39</v>
      </c>
      <c r="F49" s="6" t="s">
        <v>3</v>
      </c>
      <c r="G49" s="6" t="s">
        <v>39</v>
      </c>
      <c r="H49" s="6" t="s">
        <v>3</v>
      </c>
      <c r="I49" s="6" t="s">
        <v>39</v>
      </c>
      <c r="J49" s="6" t="s">
        <v>3</v>
      </c>
      <c r="K49" s="6" t="s">
        <v>39</v>
      </c>
      <c r="L49" s="6" t="s">
        <v>3</v>
      </c>
      <c r="M49" s="6" t="s">
        <v>39</v>
      </c>
      <c r="N49" s="6" t="s">
        <v>3</v>
      </c>
      <c r="O49" s="6" t="s">
        <v>39</v>
      </c>
      <c r="P49" s="6" t="s">
        <v>3</v>
      </c>
      <c r="Q49" s="6" t="s">
        <v>39</v>
      </c>
      <c r="R49" s="6" t="s">
        <v>3</v>
      </c>
      <c r="S49" s="6" t="s">
        <v>39</v>
      </c>
      <c r="T49" s="6" t="s">
        <v>3</v>
      </c>
      <c r="U49" s="6" t="s">
        <v>39</v>
      </c>
      <c r="V49" s="6" t="s">
        <v>3</v>
      </c>
      <c r="W49" s="6" t="s">
        <v>39</v>
      </c>
      <c r="X49" s="6" t="s">
        <v>3</v>
      </c>
      <c r="Y49" s="6" t="s">
        <v>39</v>
      </c>
      <c r="Z49" s="6" t="s">
        <v>3</v>
      </c>
      <c r="AA49" s="6" t="s">
        <v>39</v>
      </c>
      <c r="AB49" s="6" t="s">
        <v>3</v>
      </c>
      <c r="AC49" s="6" t="s">
        <v>39</v>
      </c>
    </row>
    <row r="50" spans="1:29" ht="18" x14ac:dyDescent="0.35">
      <c r="A50" s="66">
        <v>1</v>
      </c>
      <c r="B50" s="37" t="s">
        <v>42</v>
      </c>
      <c r="C50" s="38" t="s">
        <v>43</v>
      </c>
      <c r="D50" s="46">
        <v>991</v>
      </c>
      <c r="E50" s="46">
        <v>3847.53</v>
      </c>
      <c r="F50" s="46">
        <v>841</v>
      </c>
      <c r="G50" s="46">
        <v>3315.73</v>
      </c>
      <c r="H50" s="46">
        <v>627</v>
      </c>
      <c r="I50" s="46">
        <v>2557.02</v>
      </c>
      <c r="J50" s="46">
        <v>1419</v>
      </c>
      <c r="K50" s="46">
        <v>5319.38</v>
      </c>
      <c r="L50" s="46">
        <v>1226</v>
      </c>
      <c r="M50" s="46">
        <v>4641.33</v>
      </c>
      <c r="N50" s="46">
        <v>1586</v>
      </c>
      <c r="O50" s="46">
        <v>5906.1</v>
      </c>
      <c r="P50" s="46">
        <v>1471</v>
      </c>
      <c r="Q50" s="46">
        <v>5502.07</v>
      </c>
      <c r="R50" s="46">
        <v>1420</v>
      </c>
      <c r="S50" s="46">
        <v>5064.59</v>
      </c>
      <c r="T50" s="46">
        <v>1151</v>
      </c>
      <c r="U50" s="46">
        <v>4168.46</v>
      </c>
      <c r="V50" s="107">
        <v>1707</v>
      </c>
      <c r="W50" s="120">
        <v>6020.7</v>
      </c>
      <c r="X50" s="46">
        <v>1616</v>
      </c>
      <c r="Y50" s="46">
        <v>5717.55</v>
      </c>
      <c r="Z50" s="46">
        <v>1957</v>
      </c>
      <c r="AA50" s="46">
        <v>6769.76</v>
      </c>
      <c r="AB50" s="78">
        <f>+D50+F50+H50+J50+L50+N50+P50+R50+T50+V50+X50+Z50</f>
        <v>16012</v>
      </c>
      <c r="AC50" s="78">
        <f>+E50+G50+I50+K50+M50+O50+Q50+S50+U50+W50+Y50+AA50</f>
        <v>58830.22</v>
      </c>
    </row>
    <row r="51" spans="1:29" ht="18" x14ac:dyDescent="0.35">
      <c r="A51" s="66">
        <v>2</v>
      </c>
      <c r="B51" s="37" t="s">
        <v>44</v>
      </c>
      <c r="C51" s="38" t="s">
        <v>45</v>
      </c>
      <c r="D51" s="46">
        <v>793</v>
      </c>
      <c r="E51" s="46">
        <v>34427.550000000003</v>
      </c>
      <c r="F51" s="46">
        <v>738</v>
      </c>
      <c r="G51" s="46">
        <v>27858.92</v>
      </c>
      <c r="H51" s="46">
        <v>196</v>
      </c>
      <c r="I51" s="46">
        <v>27628.57</v>
      </c>
      <c r="J51" s="46">
        <v>20</v>
      </c>
      <c r="K51" s="46">
        <v>27553.119999999999</v>
      </c>
      <c r="L51" s="46">
        <v>35</v>
      </c>
      <c r="M51" s="46">
        <v>27559.02</v>
      </c>
      <c r="N51" s="46">
        <v>110</v>
      </c>
      <c r="O51" s="46">
        <v>27588.48</v>
      </c>
      <c r="P51" s="46">
        <v>333</v>
      </c>
      <c r="Q51" s="46">
        <v>26575.08</v>
      </c>
      <c r="R51" s="46">
        <v>288</v>
      </c>
      <c r="S51" s="46">
        <v>31568.92</v>
      </c>
      <c r="T51" s="46">
        <v>38</v>
      </c>
      <c r="U51" s="46">
        <v>26452.25</v>
      </c>
      <c r="V51" s="107">
        <v>143</v>
      </c>
      <c r="W51" s="120">
        <v>26474.41</v>
      </c>
      <c r="X51" s="46">
        <v>581</v>
      </c>
      <c r="Y51" s="46">
        <v>26566.83</v>
      </c>
      <c r="Z51" s="46">
        <v>428</v>
      </c>
      <c r="AA51" s="46">
        <v>23123</v>
      </c>
      <c r="AB51" s="78">
        <f t="shared" ref="AB51:AB65" si="9">+D51+F51+H51+J51+L51+N51+P51+R51+T51+V51+X51+Z51</f>
        <v>3703</v>
      </c>
      <c r="AC51" s="78">
        <f t="shared" ref="AC51:AC65" si="10">+E51+G51+I51+K51+M51+O51+Q51+S51+U51+W51+Y51+AA51</f>
        <v>333376.14999999997</v>
      </c>
    </row>
    <row r="52" spans="1:29" ht="18" x14ac:dyDescent="0.35">
      <c r="A52" s="66">
        <v>3</v>
      </c>
      <c r="B52" s="60" t="s">
        <v>4</v>
      </c>
      <c r="C52" s="47" t="s">
        <v>25</v>
      </c>
      <c r="D52" s="47">
        <v>87000</v>
      </c>
      <c r="E52" s="48">
        <v>417534.73</v>
      </c>
      <c r="F52" s="47">
        <v>93000</v>
      </c>
      <c r="G52" s="48">
        <v>443974.46</v>
      </c>
      <c r="H52" s="47">
        <v>68000</v>
      </c>
      <c r="I52" s="48">
        <v>324747.63</v>
      </c>
      <c r="J52" s="47">
        <v>65000</v>
      </c>
      <c r="K52" s="48">
        <v>308745.18</v>
      </c>
      <c r="L52" s="47">
        <v>79000</v>
      </c>
      <c r="M52" s="48">
        <v>379987.63</v>
      </c>
      <c r="N52" s="47">
        <v>96000</v>
      </c>
      <c r="O52" s="48">
        <v>460007.48</v>
      </c>
      <c r="P52" s="47">
        <v>89000</v>
      </c>
      <c r="Q52" s="48">
        <v>430455.25</v>
      </c>
      <c r="R52" s="47">
        <v>87000</v>
      </c>
      <c r="S52" s="48">
        <v>404858.59</v>
      </c>
      <c r="T52" s="47">
        <v>81000</v>
      </c>
      <c r="U52" s="48">
        <v>400643.43</v>
      </c>
      <c r="V52" s="47">
        <v>83000</v>
      </c>
      <c r="W52" s="48">
        <v>387609.86</v>
      </c>
      <c r="X52" s="47">
        <v>92000</v>
      </c>
      <c r="Y52" s="48">
        <v>423541.51</v>
      </c>
      <c r="Z52" s="47">
        <v>92000</v>
      </c>
      <c r="AA52" s="48">
        <v>425355.52000000002</v>
      </c>
      <c r="AB52" s="78">
        <f t="shared" si="9"/>
        <v>1012000</v>
      </c>
      <c r="AC52" s="78">
        <f t="shared" si="10"/>
        <v>4807461.2699999996</v>
      </c>
    </row>
    <row r="53" spans="1:29" ht="18" x14ac:dyDescent="0.35">
      <c r="A53" s="66">
        <v>4</v>
      </c>
      <c r="B53" s="60" t="s">
        <v>5</v>
      </c>
      <c r="C53" s="2" t="s">
        <v>48</v>
      </c>
      <c r="D53" s="47">
        <v>208000</v>
      </c>
      <c r="E53" s="48">
        <v>997068.35</v>
      </c>
      <c r="F53" s="47">
        <v>201000</v>
      </c>
      <c r="G53" s="49">
        <v>959530.7</v>
      </c>
      <c r="H53" s="47">
        <v>153000</v>
      </c>
      <c r="I53" s="48">
        <v>697631.43</v>
      </c>
      <c r="J53" s="47">
        <v>147000</v>
      </c>
      <c r="K53" s="48">
        <v>687726.4</v>
      </c>
      <c r="L53" s="47">
        <v>166000</v>
      </c>
      <c r="M53" s="48">
        <v>779066.19</v>
      </c>
      <c r="N53" s="47">
        <v>221000</v>
      </c>
      <c r="O53" s="48">
        <v>1064807.7</v>
      </c>
      <c r="P53" s="47">
        <v>206000</v>
      </c>
      <c r="Q53" s="48">
        <v>988601.36</v>
      </c>
      <c r="R53" s="47">
        <v>219000</v>
      </c>
      <c r="S53" s="48">
        <v>988225.41</v>
      </c>
      <c r="T53" s="47">
        <v>177000</v>
      </c>
      <c r="U53" s="48">
        <v>794858.98</v>
      </c>
      <c r="V53" s="47">
        <v>186000</v>
      </c>
      <c r="W53" s="48">
        <v>817975.29</v>
      </c>
      <c r="X53" s="47">
        <v>210000</v>
      </c>
      <c r="Y53" s="106">
        <v>950064.19</v>
      </c>
      <c r="Z53" s="47">
        <v>212000</v>
      </c>
      <c r="AA53" s="48">
        <v>949875.41</v>
      </c>
      <c r="AB53" s="78">
        <f t="shared" si="9"/>
        <v>2306000</v>
      </c>
      <c r="AC53" s="78">
        <f t="shared" si="10"/>
        <v>10675431.409999998</v>
      </c>
    </row>
    <row r="54" spans="1:29" ht="18" x14ac:dyDescent="0.35">
      <c r="A54" s="66">
        <v>5</v>
      </c>
      <c r="B54" s="60" t="s">
        <v>6</v>
      </c>
      <c r="C54" s="2" t="s">
        <v>49</v>
      </c>
      <c r="D54" s="47">
        <v>171000</v>
      </c>
      <c r="E54" s="48">
        <v>831218.58</v>
      </c>
      <c r="F54" s="47">
        <v>162000</v>
      </c>
      <c r="G54" s="48">
        <v>792727.96</v>
      </c>
      <c r="H54" s="47">
        <v>119000</v>
      </c>
      <c r="I54" s="48">
        <v>559208.11</v>
      </c>
      <c r="J54" s="47">
        <v>117000</v>
      </c>
      <c r="K54" s="48">
        <v>556961.80000000005</v>
      </c>
      <c r="L54" s="47">
        <v>160000</v>
      </c>
      <c r="M54" s="48">
        <v>773821.83</v>
      </c>
      <c r="N54" s="47">
        <v>183000</v>
      </c>
      <c r="O54" s="48">
        <v>878966.93</v>
      </c>
      <c r="P54" s="47">
        <v>161000</v>
      </c>
      <c r="Q54" s="48">
        <v>799425.82</v>
      </c>
      <c r="R54" s="47">
        <v>178000</v>
      </c>
      <c r="S54" s="48">
        <v>805506.45</v>
      </c>
      <c r="T54" s="47">
        <v>139000</v>
      </c>
      <c r="U54" s="48">
        <v>640553.09</v>
      </c>
      <c r="V54" s="106">
        <v>166000</v>
      </c>
      <c r="W54" s="48">
        <v>765971.01</v>
      </c>
      <c r="X54" s="47">
        <v>181000</v>
      </c>
      <c r="Y54" s="48">
        <v>829462.21</v>
      </c>
      <c r="Z54" s="47">
        <v>176000</v>
      </c>
      <c r="AA54" s="48">
        <v>829115.44</v>
      </c>
      <c r="AB54" s="78">
        <f t="shared" si="9"/>
        <v>1913000</v>
      </c>
      <c r="AC54" s="78">
        <f t="shared" si="10"/>
        <v>9062939.2300000004</v>
      </c>
    </row>
    <row r="55" spans="1:29" ht="18" x14ac:dyDescent="0.35">
      <c r="A55" s="66">
        <v>6</v>
      </c>
      <c r="B55" s="60" t="s">
        <v>8</v>
      </c>
      <c r="C55" s="47" t="s">
        <v>26</v>
      </c>
      <c r="D55" s="47">
        <v>81000</v>
      </c>
      <c r="E55" s="47">
        <v>375481.15</v>
      </c>
      <c r="F55" s="47">
        <v>77000</v>
      </c>
      <c r="G55" s="47">
        <v>354167.22</v>
      </c>
      <c r="H55" s="47">
        <v>55000</v>
      </c>
      <c r="I55" s="47">
        <v>256583.23</v>
      </c>
      <c r="J55" s="47">
        <v>56000</v>
      </c>
      <c r="K55" s="47">
        <v>263906.44</v>
      </c>
      <c r="L55" s="47">
        <v>57000</v>
      </c>
      <c r="M55" s="177">
        <v>267101.31</v>
      </c>
      <c r="N55" s="47">
        <v>58000</v>
      </c>
      <c r="O55" s="47">
        <v>270280.17</v>
      </c>
      <c r="P55" s="47">
        <v>54000</v>
      </c>
      <c r="Q55" s="47">
        <v>255873.9</v>
      </c>
      <c r="R55" s="47">
        <v>65000</v>
      </c>
      <c r="S55" s="47">
        <v>292291.95</v>
      </c>
      <c r="T55" s="47">
        <v>78000</v>
      </c>
      <c r="U55" s="47">
        <v>335044.8</v>
      </c>
      <c r="V55" s="47">
        <v>77000</v>
      </c>
      <c r="W55" s="47">
        <v>335840.16</v>
      </c>
      <c r="X55" s="47">
        <v>82000</v>
      </c>
      <c r="Y55" s="47">
        <v>352247.33</v>
      </c>
      <c r="Z55" s="47">
        <v>78000</v>
      </c>
      <c r="AA55" s="47">
        <v>337331.77</v>
      </c>
      <c r="AB55" s="78">
        <f t="shared" si="9"/>
        <v>818000</v>
      </c>
      <c r="AC55" s="78">
        <f t="shared" si="10"/>
        <v>3696149.43</v>
      </c>
    </row>
    <row r="56" spans="1:29" ht="18" x14ac:dyDescent="0.35">
      <c r="A56" s="66">
        <v>7</v>
      </c>
      <c r="B56" s="60" t="s">
        <v>9</v>
      </c>
      <c r="C56" s="47" t="s">
        <v>27</v>
      </c>
      <c r="D56" s="47">
        <v>42000</v>
      </c>
      <c r="E56" s="47">
        <v>196540.4</v>
      </c>
      <c r="F56" s="47">
        <v>43000</v>
      </c>
      <c r="G56" s="47">
        <v>202011.12</v>
      </c>
      <c r="H56" s="47">
        <v>34000</v>
      </c>
      <c r="I56" s="47">
        <v>156883.47</v>
      </c>
      <c r="J56" s="47">
        <v>34000</v>
      </c>
      <c r="K56" s="47">
        <v>157609.12</v>
      </c>
      <c r="L56" s="47">
        <v>38000</v>
      </c>
      <c r="M56" s="47">
        <v>182651</v>
      </c>
      <c r="N56" s="47">
        <v>46000</v>
      </c>
      <c r="O56" s="47">
        <v>216535.97</v>
      </c>
      <c r="P56" s="47">
        <v>46000</v>
      </c>
      <c r="Q56" s="47">
        <v>217689.86</v>
      </c>
      <c r="R56" s="47">
        <v>47000</v>
      </c>
      <c r="S56" s="47">
        <v>210897.07</v>
      </c>
      <c r="T56" s="47">
        <v>42000</v>
      </c>
      <c r="U56" s="47">
        <v>190112.64000000001</v>
      </c>
      <c r="V56" s="47">
        <v>43000</v>
      </c>
      <c r="W56" s="47">
        <v>193109.6</v>
      </c>
      <c r="X56" s="47">
        <v>43000</v>
      </c>
      <c r="Y56" s="47">
        <v>193678.54</v>
      </c>
      <c r="Z56" s="47">
        <v>42000</v>
      </c>
      <c r="AA56" s="47">
        <v>190132.08</v>
      </c>
      <c r="AB56" s="78">
        <f t="shared" si="9"/>
        <v>500000</v>
      </c>
      <c r="AC56" s="78">
        <f t="shared" si="10"/>
        <v>2307850.87</v>
      </c>
    </row>
    <row r="57" spans="1:29" ht="18" x14ac:dyDescent="0.35">
      <c r="A57" s="66">
        <v>8</v>
      </c>
      <c r="B57" s="60" t="s">
        <v>10</v>
      </c>
      <c r="C57" s="47" t="s">
        <v>28</v>
      </c>
      <c r="D57" s="47">
        <v>98000</v>
      </c>
      <c r="E57" s="47">
        <v>510993.8</v>
      </c>
      <c r="F57" s="47">
        <v>95000</v>
      </c>
      <c r="G57" s="47">
        <v>494154.94</v>
      </c>
      <c r="H57" s="47">
        <v>78000</v>
      </c>
      <c r="I57" s="47">
        <v>407521.31</v>
      </c>
      <c r="J57" s="47">
        <v>77000</v>
      </c>
      <c r="K57" s="47">
        <v>398092.52</v>
      </c>
      <c r="L57" s="47">
        <v>79000</v>
      </c>
      <c r="M57" s="47">
        <v>421518.45</v>
      </c>
      <c r="N57" s="47">
        <v>99000</v>
      </c>
      <c r="O57" s="47">
        <v>513855.56</v>
      </c>
      <c r="P57" s="47">
        <v>96000</v>
      </c>
      <c r="Q57" s="47">
        <v>508475.8</v>
      </c>
      <c r="R57" s="47">
        <v>101000</v>
      </c>
      <c r="S57" s="47">
        <v>506851.63</v>
      </c>
      <c r="T57" s="47">
        <v>96000</v>
      </c>
      <c r="U57" s="47">
        <v>491155.64</v>
      </c>
      <c r="V57" s="47">
        <v>102000</v>
      </c>
      <c r="W57" s="106">
        <v>517038.55</v>
      </c>
      <c r="X57" s="121">
        <v>100000</v>
      </c>
      <c r="Y57" s="47">
        <v>506114.42</v>
      </c>
      <c r="Z57" s="47">
        <v>102000</v>
      </c>
      <c r="AA57" s="47">
        <v>501863.08</v>
      </c>
      <c r="AB57" s="78">
        <f t="shared" si="9"/>
        <v>1123000</v>
      </c>
      <c r="AC57" s="78">
        <f t="shared" si="10"/>
        <v>5777635.6999999993</v>
      </c>
    </row>
    <row r="58" spans="1:29" ht="18" x14ac:dyDescent="0.35">
      <c r="A58" s="66">
        <v>9</v>
      </c>
      <c r="B58" s="60" t="s">
        <v>11</v>
      </c>
      <c r="C58" s="47" t="s">
        <v>29</v>
      </c>
      <c r="D58" s="47">
        <v>92000</v>
      </c>
      <c r="E58" s="47">
        <v>447416.53</v>
      </c>
      <c r="F58" s="47">
        <v>90000</v>
      </c>
      <c r="G58" s="47">
        <v>446952.47</v>
      </c>
      <c r="H58" s="47">
        <v>59000</v>
      </c>
      <c r="I58" s="47">
        <v>284423.96999999997</v>
      </c>
      <c r="J58" s="47">
        <v>64000</v>
      </c>
      <c r="K58" s="47">
        <v>311950.89</v>
      </c>
      <c r="L58" s="47">
        <v>77000</v>
      </c>
      <c r="M58" s="47">
        <v>383822.81</v>
      </c>
      <c r="N58" s="47">
        <v>100000</v>
      </c>
      <c r="O58" s="47">
        <v>500046.25</v>
      </c>
      <c r="P58" s="47">
        <v>91000</v>
      </c>
      <c r="Q58" s="47">
        <v>457925.97</v>
      </c>
      <c r="R58" s="47">
        <v>101000</v>
      </c>
      <c r="S58" s="47">
        <v>469762.11</v>
      </c>
      <c r="T58" s="47">
        <v>79000</v>
      </c>
      <c r="U58" s="47">
        <v>367608.83</v>
      </c>
      <c r="V58" s="47">
        <v>88000</v>
      </c>
      <c r="W58" s="47">
        <v>401629.22</v>
      </c>
      <c r="X58" s="47">
        <v>91000</v>
      </c>
      <c r="Y58" s="47">
        <v>429172.87</v>
      </c>
      <c r="Z58" s="47">
        <v>92000</v>
      </c>
      <c r="AA58" s="47">
        <v>430443.97</v>
      </c>
      <c r="AB58" s="78">
        <f t="shared" si="9"/>
        <v>1024000</v>
      </c>
      <c r="AC58" s="78">
        <f t="shared" si="10"/>
        <v>4931155.8899999997</v>
      </c>
    </row>
    <row r="59" spans="1:29" ht="18" x14ac:dyDescent="0.35">
      <c r="A59" s="66">
        <v>10</v>
      </c>
      <c r="B59" s="60" t="s">
        <v>12</v>
      </c>
      <c r="C59" s="47" t="s">
        <v>30</v>
      </c>
      <c r="D59" s="47">
        <v>71000</v>
      </c>
      <c r="E59" s="47">
        <v>365195.69</v>
      </c>
      <c r="F59" s="47">
        <v>79000</v>
      </c>
      <c r="G59" s="47">
        <v>399621.93</v>
      </c>
      <c r="H59" s="47">
        <v>56000</v>
      </c>
      <c r="I59" s="106">
        <v>281460.12</v>
      </c>
      <c r="J59" s="47">
        <v>56000</v>
      </c>
      <c r="K59" s="47">
        <v>275521.69</v>
      </c>
      <c r="L59" s="47">
        <v>64000</v>
      </c>
      <c r="M59" s="47">
        <v>331783.77</v>
      </c>
      <c r="N59" s="47">
        <v>84000</v>
      </c>
      <c r="O59" s="47">
        <v>423726.18</v>
      </c>
      <c r="P59" s="47">
        <v>71000</v>
      </c>
      <c r="Q59" s="47">
        <v>373173.52</v>
      </c>
      <c r="R59" s="47">
        <v>80000</v>
      </c>
      <c r="S59" s="47">
        <v>394990.19</v>
      </c>
      <c r="T59" s="47">
        <v>64000</v>
      </c>
      <c r="U59" s="47">
        <v>315053.71999999997</v>
      </c>
      <c r="V59" s="47">
        <v>76000</v>
      </c>
      <c r="W59" s="49">
        <v>365713.68</v>
      </c>
      <c r="X59" s="47">
        <v>82000</v>
      </c>
      <c r="Y59" s="49">
        <v>389178.6</v>
      </c>
      <c r="Z59" s="47">
        <v>79000</v>
      </c>
      <c r="AA59" s="49">
        <v>380915.32</v>
      </c>
      <c r="AB59" s="78">
        <f t="shared" si="9"/>
        <v>862000</v>
      </c>
      <c r="AC59" s="78">
        <f t="shared" si="10"/>
        <v>4296334.41</v>
      </c>
    </row>
    <row r="60" spans="1:29" ht="18" x14ac:dyDescent="0.35">
      <c r="A60" s="66">
        <v>11</v>
      </c>
      <c r="B60" s="60" t="s">
        <v>13</v>
      </c>
      <c r="C60" s="47" t="s">
        <v>31</v>
      </c>
      <c r="D60" s="47">
        <v>190000</v>
      </c>
      <c r="E60" s="47">
        <v>835667.15</v>
      </c>
      <c r="F60" s="47">
        <v>191000</v>
      </c>
      <c r="G60" s="47">
        <v>839431.05</v>
      </c>
      <c r="H60" s="47">
        <v>163000</v>
      </c>
      <c r="I60" s="47">
        <v>700031.76</v>
      </c>
      <c r="J60" s="47">
        <v>155000</v>
      </c>
      <c r="K60" s="47">
        <v>669272.51</v>
      </c>
      <c r="L60" s="47">
        <v>168000</v>
      </c>
      <c r="M60" s="47">
        <v>737494.34</v>
      </c>
      <c r="N60" s="47">
        <v>195000</v>
      </c>
      <c r="O60" s="47">
        <v>865137.1</v>
      </c>
      <c r="P60" s="47">
        <v>190000</v>
      </c>
      <c r="Q60" s="47">
        <v>840536.26</v>
      </c>
      <c r="R60" s="47">
        <v>197000</v>
      </c>
      <c r="S60" s="47">
        <v>832026.45</v>
      </c>
      <c r="T60" s="47">
        <v>168000</v>
      </c>
      <c r="U60" s="47">
        <v>696900.48</v>
      </c>
      <c r="V60" s="47">
        <v>187000</v>
      </c>
      <c r="W60" s="49">
        <v>787234.18</v>
      </c>
      <c r="X60" s="47">
        <v>197000</v>
      </c>
      <c r="Y60" s="49">
        <v>829640.46</v>
      </c>
      <c r="Z60" s="47">
        <v>188000</v>
      </c>
      <c r="AA60" s="49">
        <v>802490.52</v>
      </c>
      <c r="AB60" s="78">
        <f t="shared" si="9"/>
        <v>2189000</v>
      </c>
      <c r="AC60" s="78">
        <f t="shared" si="10"/>
        <v>9435862.2599999979</v>
      </c>
    </row>
    <row r="61" spans="1:29" ht="18" x14ac:dyDescent="0.35">
      <c r="A61" s="66">
        <v>12</v>
      </c>
      <c r="B61" s="60" t="s">
        <v>14</v>
      </c>
      <c r="C61" s="47" t="s">
        <v>35</v>
      </c>
      <c r="D61" s="47">
        <v>1072</v>
      </c>
      <c r="E61" s="47">
        <v>5321.3</v>
      </c>
      <c r="F61" s="47">
        <v>1212</v>
      </c>
      <c r="G61" s="49">
        <v>6043.18</v>
      </c>
      <c r="H61" s="47">
        <v>1400</v>
      </c>
      <c r="I61" s="47">
        <v>7012.54</v>
      </c>
      <c r="J61" s="47">
        <v>1992</v>
      </c>
      <c r="K61" s="47">
        <v>10001.09</v>
      </c>
      <c r="L61" s="47">
        <v>2224</v>
      </c>
      <c r="M61" s="47">
        <v>11189.88</v>
      </c>
      <c r="N61" s="47">
        <v>2213</v>
      </c>
      <c r="O61" s="47">
        <v>11133.51</v>
      </c>
      <c r="P61" s="47">
        <v>2140</v>
      </c>
      <c r="Q61" s="47">
        <v>10759.46</v>
      </c>
      <c r="R61" s="47">
        <v>1818</v>
      </c>
      <c r="S61" s="47">
        <v>8778.7900000000009</v>
      </c>
      <c r="T61" s="47">
        <v>1123</v>
      </c>
      <c r="U61" s="47">
        <v>5343.95</v>
      </c>
      <c r="V61" s="47">
        <v>1271</v>
      </c>
      <c r="W61" s="47">
        <v>6075.4</v>
      </c>
      <c r="X61" s="47">
        <v>2180</v>
      </c>
      <c r="Y61" s="106">
        <v>10567.89</v>
      </c>
      <c r="Z61" s="47">
        <v>1913</v>
      </c>
      <c r="AA61" s="47">
        <v>9166.42</v>
      </c>
      <c r="AB61" s="78">
        <f t="shared" si="9"/>
        <v>20558</v>
      </c>
      <c r="AC61" s="78">
        <f t="shared" si="10"/>
        <v>101393.40999999999</v>
      </c>
    </row>
    <row r="62" spans="1:29" ht="18" x14ac:dyDescent="0.35">
      <c r="A62" s="66">
        <v>13</v>
      </c>
      <c r="B62" s="60" t="s">
        <v>15</v>
      </c>
      <c r="C62" s="47" t="s">
        <v>32</v>
      </c>
      <c r="D62" s="47">
        <v>45000</v>
      </c>
      <c r="E62" s="47">
        <v>205035.41</v>
      </c>
      <c r="F62" s="47">
        <v>44000</v>
      </c>
      <c r="G62" s="47">
        <v>203389.03</v>
      </c>
      <c r="H62" s="47">
        <v>38000</v>
      </c>
      <c r="I62" s="47">
        <v>167878.27</v>
      </c>
      <c r="J62" s="47">
        <v>34000</v>
      </c>
      <c r="K62" s="47">
        <v>154638.19</v>
      </c>
      <c r="L62" s="47">
        <v>37000</v>
      </c>
      <c r="M62" s="47">
        <v>169421.47</v>
      </c>
      <c r="N62" s="47">
        <v>46000</v>
      </c>
      <c r="O62" s="47">
        <v>210025.17</v>
      </c>
      <c r="P62" s="47">
        <v>47000</v>
      </c>
      <c r="Q62" s="47">
        <v>215622.03</v>
      </c>
      <c r="R62" s="47">
        <v>52000</v>
      </c>
      <c r="S62" s="47">
        <v>223748.36</v>
      </c>
      <c r="T62" s="47">
        <v>45000</v>
      </c>
      <c r="U62" s="47">
        <v>195279.18</v>
      </c>
      <c r="V62" s="47">
        <v>45000</v>
      </c>
      <c r="W62" s="47">
        <v>197412.71</v>
      </c>
      <c r="X62" s="47">
        <v>51000</v>
      </c>
      <c r="Y62" s="47">
        <v>217496</v>
      </c>
      <c r="Z62" s="47">
        <v>49000</v>
      </c>
      <c r="AA62" s="47">
        <v>211522.39</v>
      </c>
      <c r="AB62" s="78">
        <f t="shared" si="9"/>
        <v>533000</v>
      </c>
      <c r="AC62" s="78">
        <f t="shared" si="10"/>
        <v>2371468.2099999995</v>
      </c>
    </row>
    <row r="63" spans="1:29" ht="18" x14ac:dyDescent="0.35">
      <c r="A63" s="66">
        <v>14</v>
      </c>
      <c r="B63" s="60" t="s">
        <v>16</v>
      </c>
      <c r="C63" s="47" t="s">
        <v>33</v>
      </c>
      <c r="D63" s="47">
        <v>114000</v>
      </c>
      <c r="E63" s="47">
        <v>570586.82999999996</v>
      </c>
      <c r="F63" s="47">
        <v>117000</v>
      </c>
      <c r="G63" s="47">
        <v>571242.9</v>
      </c>
      <c r="H63" s="47">
        <v>88000</v>
      </c>
      <c r="I63" s="47">
        <v>436533.79</v>
      </c>
      <c r="J63" s="47">
        <v>88000</v>
      </c>
      <c r="K63" s="47">
        <v>423277.8</v>
      </c>
      <c r="L63" s="47">
        <v>97000</v>
      </c>
      <c r="M63" s="47">
        <v>471309.75</v>
      </c>
      <c r="N63" s="47">
        <v>116000</v>
      </c>
      <c r="O63" s="47">
        <v>565604.46</v>
      </c>
      <c r="P63" s="47">
        <v>114000</v>
      </c>
      <c r="Q63" s="47">
        <v>561997.22</v>
      </c>
      <c r="R63" s="47">
        <v>115000</v>
      </c>
      <c r="S63" s="47">
        <v>536466.67000000004</v>
      </c>
      <c r="T63" s="47">
        <v>97000</v>
      </c>
      <c r="U63" s="47">
        <v>461630.61</v>
      </c>
      <c r="V63" s="47">
        <v>96000</v>
      </c>
      <c r="W63" s="47">
        <v>457654.01</v>
      </c>
      <c r="X63" s="47">
        <v>121000</v>
      </c>
      <c r="Y63" s="47">
        <v>556944.65</v>
      </c>
      <c r="Z63" s="47">
        <v>119000</v>
      </c>
      <c r="AA63" s="47">
        <v>553079.5</v>
      </c>
      <c r="AB63" s="78">
        <f t="shared" si="9"/>
        <v>1282000</v>
      </c>
      <c r="AC63" s="78">
        <f t="shared" si="10"/>
        <v>6166328.1900000004</v>
      </c>
    </row>
    <row r="64" spans="1:29" ht="18" x14ac:dyDescent="0.35">
      <c r="A64" s="66">
        <v>15</v>
      </c>
      <c r="B64" s="60" t="s">
        <v>17</v>
      </c>
      <c r="C64" s="47" t="s">
        <v>34</v>
      </c>
      <c r="D64" s="47">
        <v>174000</v>
      </c>
      <c r="E64" s="47">
        <v>843205.43</v>
      </c>
      <c r="F64" s="47">
        <v>181000</v>
      </c>
      <c r="G64" s="47">
        <v>868194.38</v>
      </c>
      <c r="H64" s="47">
        <v>129000</v>
      </c>
      <c r="I64" s="47">
        <v>610108.78</v>
      </c>
      <c r="J64" s="47">
        <v>119000</v>
      </c>
      <c r="K64" s="47">
        <v>574351.67000000004</v>
      </c>
      <c r="L64" s="47">
        <v>143000</v>
      </c>
      <c r="M64" s="47">
        <v>694655.4</v>
      </c>
      <c r="N64" s="47">
        <v>177000</v>
      </c>
      <c r="O64" s="47">
        <v>843726.97</v>
      </c>
      <c r="P64" s="47">
        <v>173000</v>
      </c>
      <c r="Q64" s="47">
        <v>821878.29</v>
      </c>
      <c r="R64" s="47">
        <v>176000</v>
      </c>
      <c r="S64" s="47">
        <v>805612.63</v>
      </c>
      <c r="T64" s="47">
        <v>151000</v>
      </c>
      <c r="U64" s="47">
        <v>688051.87</v>
      </c>
      <c r="V64" s="47">
        <v>172000</v>
      </c>
      <c r="W64" s="47">
        <v>766632.12</v>
      </c>
      <c r="X64" s="47">
        <v>177000</v>
      </c>
      <c r="Y64" s="47">
        <v>812227.67</v>
      </c>
      <c r="Z64" s="47">
        <v>169000</v>
      </c>
      <c r="AA64" s="47">
        <v>782962.04</v>
      </c>
      <c r="AB64" s="78">
        <f t="shared" si="9"/>
        <v>1941000</v>
      </c>
      <c r="AC64" s="78">
        <f t="shared" si="10"/>
        <v>9111607.25</v>
      </c>
    </row>
    <row r="65" spans="1:29" ht="18" x14ac:dyDescent="0.35">
      <c r="A65" s="66">
        <v>16</v>
      </c>
      <c r="B65" s="60" t="s">
        <v>18</v>
      </c>
      <c r="C65" s="47" t="s">
        <v>36</v>
      </c>
      <c r="D65" s="47">
        <v>163000</v>
      </c>
      <c r="E65" s="47">
        <v>815898.03</v>
      </c>
      <c r="F65" s="47">
        <v>164000</v>
      </c>
      <c r="G65" s="47">
        <v>796321.19</v>
      </c>
      <c r="H65" s="47">
        <v>105000</v>
      </c>
      <c r="I65" s="47">
        <v>518649.74</v>
      </c>
      <c r="J65" s="47">
        <v>112000</v>
      </c>
      <c r="K65" s="47">
        <v>543044.6</v>
      </c>
      <c r="L65" s="47">
        <v>140000</v>
      </c>
      <c r="M65" s="47">
        <v>698188.43</v>
      </c>
      <c r="N65" s="47">
        <v>180000</v>
      </c>
      <c r="O65" s="107">
        <v>864594.35</v>
      </c>
      <c r="P65" s="47">
        <v>161000</v>
      </c>
      <c r="Q65" s="47">
        <v>792931.02</v>
      </c>
      <c r="R65" s="47">
        <v>167000</v>
      </c>
      <c r="S65" s="47">
        <v>775953.5</v>
      </c>
      <c r="T65" s="47">
        <v>123000</v>
      </c>
      <c r="U65" s="47">
        <v>552935.93000000005</v>
      </c>
      <c r="V65" s="106">
        <v>129000</v>
      </c>
      <c r="W65" s="47">
        <v>597135.16</v>
      </c>
      <c r="X65" s="106">
        <v>176000</v>
      </c>
      <c r="Y65" s="47">
        <v>833062.17</v>
      </c>
      <c r="Z65" s="47">
        <v>175000</v>
      </c>
      <c r="AA65" s="47">
        <v>806991.55</v>
      </c>
      <c r="AB65" s="78">
        <f t="shared" si="9"/>
        <v>1795000</v>
      </c>
      <c r="AC65" s="78">
        <f t="shared" si="10"/>
        <v>8595705.6699999999</v>
      </c>
    </row>
    <row r="66" spans="1:29" ht="18" x14ac:dyDescent="0.35">
      <c r="A66" s="66">
        <v>17</v>
      </c>
      <c r="B66" s="60" t="s">
        <v>20</v>
      </c>
      <c r="C66" s="47" t="s">
        <v>23</v>
      </c>
      <c r="D66" s="47">
        <v>93000</v>
      </c>
      <c r="E66" s="48">
        <v>379783.9</v>
      </c>
      <c r="F66" s="47">
        <v>94000</v>
      </c>
      <c r="G66" s="48">
        <v>380450.63</v>
      </c>
      <c r="H66" s="47">
        <v>66000</v>
      </c>
      <c r="I66" s="47">
        <v>269368.48</v>
      </c>
      <c r="J66" s="47">
        <v>58000</v>
      </c>
      <c r="K66" s="48">
        <v>240238.38</v>
      </c>
      <c r="L66" s="47">
        <v>78000</v>
      </c>
      <c r="M66" s="48">
        <v>315983.83</v>
      </c>
      <c r="N66" s="47">
        <v>104000</v>
      </c>
      <c r="O66" s="48">
        <v>417707.95</v>
      </c>
      <c r="P66" s="47">
        <v>93000</v>
      </c>
      <c r="Q66" s="48">
        <v>379106.37</v>
      </c>
      <c r="R66" s="47">
        <v>105000</v>
      </c>
      <c r="S66" s="48">
        <v>401234.38</v>
      </c>
      <c r="T66" s="47">
        <v>56000</v>
      </c>
      <c r="U66" s="48">
        <v>232102.13</v>
      </c>
      <c r="V66" s="47">
        <v>77000</v>
      </c>
      <c r="W66" s="48">
        <v>303350.19</v>
      </c>
      <c r="X66" s="47">
        <v>106000</v>
      </c>
      <c r="Y66" s="48">
        <v>414914.98</v>
      </c>
      <c r="Z66" s="47">
        <v>98000</v>
      </c>
      <c r="AA66" s="48">
        <v>378194.76</v>
      </c>
      <c r="AB66" s="78">
        <f>+D66+F66+H66+J66+L66+N66+P66+R66+T66+V66+X66+Z66</f>
        <v>1028000</v>
      </c>
      <c r="AC66" s="78">
        <f>+E66+G66+I66+K66+M66+O66+Q66+S66+U66+W66+Y66+AA66</f>
        <v>4112435.9799999995</v>
      </c>
    </row>
    <row r="67" spans="1:29" ht="18" x14ac:dyDescent="0.35">
      <c r="A67" s="61"/>
      <c r="B67" s="62" t="s">
        <v>24</v>
      </c>
      <c r="C67" s="63"/>
      <c r="D67" s="86">
        <f>SUM(D50:D66)</f>
        <v>1631856</v>
      </c>
      <c r="E67" s="86">
        <f t="shared" ref="E67:AA67" si="11">SUM(E50:E66)</f>
        <v>7835222.3599999994</v>
      </c>
      <c r="F67" s="86">
        <f t="shared" si="11"/>
        <v>1633791</v>
      </c>
      <c r="G67" s="86">
        <f t="shared" si="11"/>
        <v>7789387.8100000015</v>
      </c>
      <c r="H67" s="86">
        <f t="shared" si="11"/>
        <v>1213223</v>
      </c>
      <c r="I67" s="86">
        <f t="shared" si="11"/>
        <v>5708228.2200000007</v>
      </c>
      <c r="J67" s="86">
        <f t="shared" si="11"/>
        <v>1185431</v>
      </c>
      <c r="K67" s="86">
        <f t="shared" si="11"/>
        <v>5608210.7799999993</v>
      </c>
      <c r="L67" s="86">
        <f t="shared" si="11"/>
        <v>1386485</v>
      </c>
      <c r="M67" s="86">
        <f t="shared" si="11"/>
        <v>6650196.4400000004</v>
      </c>
      <c r="N67" s="86">
        <f t="shared" si="11"/>
        <v>1708909</v>
      </c>
      <c r="O67" s="86">
        <f t="shared" si="11"/>
        <v>8139650.3299999991</v>
      </c>
      <c r="P67" s="86">
        <f t="shared" si="11"/>
        <v>1595944</v>
      </c>
      <c r="Q67" s="86">
        <f t="shared" si="11"/>
        <v>7686529.2800000003</v>
      </c>
      <c r="R67" s="65">
        <f t="shared" si="11"/>
        <v>1693526</v>
      </c>
      <c r="S67" s="65">
        <f t="shared" si="11"/>
        <v>7693837.6899999995</v>
      </c>
      <c r="T67" s="65">
        <f t="shared" si="11"/>
        <v>1398312</v>
      </c>
      <c r="U67" s="65">
        <f t="shared" si="11"/>
        <v>6397895.9900000002</v>
      </c>
      <c r="V67" s="65">
        <f t="shared" si="11"/>
        <v>1530121</v>
      </c>
      <c r="W67" s="65">
        <f t="shared" si="11"/>
        <v>6932876.2500000009</v>
      </c>
      <c r="X67" s="65">
        <f t="shared" si="11"/>
        <v>1713377</v>
      </c>
      <c r="Y67" s="65">
        <f t="shared" si="11"/>
        <v>7780597.8699999992</v>
      </c>
      <c r="Z67" s="65">
        <f t="shared" si="11"/>
        <v>1675298</v>
      </c>
      <c r="AA67" s="65">
        <f t="shared" si="11"/>
        <v>7619332.5299999993</v>
      </c>
      <c r="AB67" s="86">
        <f>SUM(AB50:AB66)</f>
        <v>18366273</v>
      </c>
      <c r="AC67" s="86">
        <f>SUM(AC50:AC66)</f>
        <v>85841965.549999997</v>
      </c>
    </row>
    <row r="68" spans="1:29" ht="18" x14ac:dyDescent="0.35">
      <c r="AB68" s="82"/>
      <c r="AC68" s="111"/>
    </row>
    <row r="70" spans="1:29" ht="18" x14ac:dyDescent="0.35">
      <c r="A70" s="199" t="s">
        <v>113</v>
      </c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  <c r="AB70" s="199"/>
      <c r="AC70" s="199"/>
    </row>
    <row r="71" spans="1:29" ht="18" x14ac:dyDescent="0.25">
      <c r="A71" s="204" t="s">
        <v>0</v>
      </c>
      <c r="B71" s="204" t="s">
        <v>77</v>
      </c>
      <c r="C71" s="206" t="s">
        <v>2</v>
      </c>
      <c r="D71" s="197" t="s">
        <v>114</v>
      </c>
      <c r="E71" s="198"/>
      <c r="F71" s="197" t="s">
        <v>115</v>
      </c>
      <c r="G71" s="198"/>
      <c r="H71" s="197" t="s">
        <v>116</v>
      </c>
      <c r="I71" s="198"/>
      <c r="J71" s="197" t="s">
        <v>117</v>
      </c>
      <c r="K71" s="198"/>
      <c r="L71" s="197" t="s">
        <v>118</v>
      </c>
      <c r="M71" s="198"/>
      <c r="N71" s="197" t="s">
        <v>119</v>
      </c>
      <c r="O71" s="198"/>
      <c r="P71" s="197" t="s">
        <v>120</v>
      </c>
      <c r="Q71" s="198"/>
      <c r="R71" s="197" t="s">
        <v>121</v>
      </c>
      <c r="S71" s="198"/>
      <c r="T71" s="197" t="s">
        <v>122</v>
      </c>
      <c r="U71" s="198"/>
      <c r="V71" s="197" t="s">
        <v>123</v>
      </c>
      <c r="W71" s="198"/>
      <c r="X71" s="197" t="s">
        <v>124</v>
      </c>
      <c r="Y71" s="198"/>
      <c r="Z71" s="197" t="s">
        <v>125</v>
      </c>
      <c r="AA71" s="198"/>
      <c r="AB71" s="195" t="s">
        <v>24</v>
      </c>
      <c r="AC71" s="196"/>
    </row>
    <row r="72" spans="1:29" ht="18" x14ac:dyDescent="0.25">
      <c r="A72" s="205"/>
      <c r="B72" s="205"/>
      <c r="C72" s="207"/>
      <c r="D72" s="6" t="s">
        <v>3</v>
      </c>
      <c r="E72" s="6" t="s">
        <v>39</v>
      </c>
      <c r="F72" s="6" t="s">
        <v>3</v>
      </c>
      <c r="G72" s="6" t="s">
        <v>39</v>
      </c>
      <c r="H72" s="6" t="s">
        <v>3</v>
      </c>
      <c r="I72" s="6" t="s">
        <v>39</v>
      </c>
      <c r="J72" s="6" t="s">
        <v>3</v>
      </c>
      <c r="K72" s="6" t="s">
        <v>39</v>
      </c>
      <c r="L72" s="6" t="s">
        <v>3</v>
      </c>
      <c r="M72" s="6" t="s">
        <v>39</v>
      </c>
      <c r="N72" s="6" t="s">
        <v>3</v>
      </c>
      <c r="O72" s="6" t="s">
        <v>39</v>
      </c>
      <c r="P72" s="6" t="s">
        <v>3</v>
      </c>
      <c r="Q72" s="6" t="s">
        <v>39</v>
      </c>
      <c r="R72" s="6" t="s">
        <v>3</v>
      </c>
      <c r="S72" s="6" t="s">
        <v>39</v>
      </c>
      <c r="T72" s="6" t="s">
        <v>3</v>
      </c>
      <c r="U72" s="6" t="s">
        <v>39</v>
      </c>
      <c r="V72" s="6" t="s">
        <v>3</v>
      </c>
      <c r="W72" s="6" t="s">
        <v>39</v>
      </c>
      <c r="X72" s="6" t="s">
        <v>3</v>
      </c>
      <c r="Y72" s="6" t="s">
        <v>39</v>
      </c>
      <c r="Z72" s="6" t="s">
        <v>3</v>
      </c>
      <c r="AA72" s="6" t="s">
        <v>39</v>
      </c>
      <c r="AB72" s="6" t="s">
        <v>3</v>
      </c>
      <c r="AC72" s="6" t="s">
        <v>39</v>
      </c>
    </row>
    <row r="73" spans="1:29" ht="18" x14ac:dyDescent="0.35">
      <c r="A73" s="66">
        <v>1</v>
      </c>
      <c r="B73" s="37" t="s">
        <v>42</v>
      </c>
      <c r="C73" s="38" t="s">
        <v>43</v>
      </c>
      <c r="D73" s="46">
        <v>1979</v>
      </c>
      <c r="E73" s="46">
        <v>6842.12</v>
      </c>
      <c r="F73" s="46">
        <v>1769</v>
      </c>
      <c r="G73" s="46">
        <v>6151.53</v>
      </c>
      <c r="H73" s="46">
        <v>1410</v>
      </c>
      <c r="I73" s="46">
        <v>4970.9399999999996</v>
      </c>
      <c r="J73" s="46">
        <v>1495</v>
      </c>
      <c r="K73" s="46">
        <v>5154.4799999999996</v>
      </c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107"/>
      <c r="W73" s="120"/>
      <c r="X73" s="46"/>
      <c r="Y73" s="46"/>
      <c r="Z73" s="46"/>
      <c r="AA73" s="46"/>
      <c r="AB73" s="78">
        <f>+D73+F73+H73+J73+L73+N73+P73+R73+T73+V73+X73+Z73</f>
        <v>6653</v>
      </c>
      <c r="AC73" s="78">
        <f>+E73+G73+I73+K73+M73+O73+Q73+S73+U73+W73+Y73+AA73</f>
        <v>23119.07</v>
      </c>
    </row>
    <row r="74" spans="1:29" ht="18" x14ac:dyDescent="0.35">
      <c r="A74" s="66">
        <v>2</v>
      </c>
      <c r="B74" s="37" t="s">
        <v>44</v>
      </c>
      <c r="C74" s="38" t="s">
        <v>45</v>
      </c>
      <c r="D74" s="46">
        <v>1843</v>
      </c>
      <c r="E74" s="46">
        <v>37734.300000000003</v>
      </c>
      <c r="F74" s="46">
        <v>1524</v>
      </c>
      <c r="G74" s="46">
        <v>48044.77</v>
      </c>
      <c r="H74" s="46">
        <v>773</v>
      </c>
      <c r="I74" s="46">
        <v>33698.82</v>
      </c>
      <c r="J74" s="46">
        <v>526</v>
      </c>
      <c r="K74" s="46">
        <v>29487.46</v>
      </c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107"/>
      <c r="W74" s="120"/>
      <c r="X74" s="46"/>
      <c r="Y74" s="46"/>
      <c r="Z74" s="46"/>
      <c r="AA74" s="46"/>
      <c r="AB74" s="78">
        <f t="shared" ref="AB74:AB88" si="12">+D74+F74+H74+J74+L74+N74+P74+R74+T74+V74+X74+Z74</f>
        <v>4666</v>
      </c>
      <c r="AC74" s="78">
        <f t="shared" ref="AC74:AC88" si="13">+E74+G74+I74+K74+M74+O74+Q74+S74+U74+W74+Y74+AA74</f>
        <v>148965.35</v>
      </c>
    </row>
    <row r="75" spans="1:29" ht="18" x14ac:dyDescent="0.35">
      <c r="A75" s="66">
        <v>3</v>
      </c>
      <c r="B75" s="60" t="s">
        <v>4</v>
      </c>
      <c r="C75" s="47" t="s">
        <v>25</v>
      </c>
      <c r="D75" s="47">
        <v>87000</v>
      </c>
      <c r="E75" s="48">
        <v>389219.25</v>
      </c>
      <c r="F75" s="47">
        <v>75000</v>
      </c>
      <c r="G75" s="48">
        <v>376354.49</v>
      </c>
      <c r="H75" s="47">
        <v>70000</v>
      </c>
      <c r="I75" s="48">
        <v>307093.46000000002</v>
      </c>
      <c r="J75" s="47">
        <v>72000</v>
      </c>
      <c r="K75" s="48">
        <v>318271.81</v>
      </c>
      <c r="L75" s="47"/>
      <c r="M75" s="48"/>
      <c r="N75" s="47"/>
      <c r="O75" s="48"/>
      <c r="P75" s="47"/>
      <c r="Q75" s="48"/>
      <c r="R75" s="47"/>
      <c r="S75" s="48"/>
      <c r="T75" s="47"/>
      <c r="U75" s="48"/>
      <c r="V75" s="47"/>
      <c r="W75" s="48"/>
      <c r="X75" s="47"/>
      <c r="Y75" s="48"/>
      <c r="Z75" s="47"/>
      <c r="AA75" s="48"/>
      <c r="AB75" s="78">
        <f t="shared" si="12"/>
        <v>304000</v>
      </c>
      <c r="AC75" s="78">
        <f t="shared" si="13"/>
        <v>1390939.01</v>
      </c>
    </row>
    <row r="76" spans="1:29" ht="18" x14ac:dyDescent="0.35">
      <c r="A76" s="66">
        <v>4</v>
      </c>
      <c r="B76" s="60" t="s">
        <v>5</v>
      </c>
      <c r="C76" s="2" t="s">
        <v>48</v>
      </c>
      <c r="D76" s="47">
        <v>212000</v>
      </c>
      <c r="E76" s="48">
        <v>936459.12</v>
      </c>
      <c r="F76" s="47">
        <v>179000</v>
      </c>
      <c r="G76" s="49">
        <v>815664.85</v>
      </c>
      <c r="H76" s="47">
        <v>152000</v>
      </c>
      <c r="I76" s="48">
        <v>650518.86</v>
      </c>
      <c r="J76" s="47">
        <v>159000</v>
      </c>
      <c r="K76" s="48">
        <v>700908.41</v>
      </c>
      <c r="L76" s="47"/>
      <c r="M76" s="48"/>
      <c r="N76" s="47"/>
      <c r="O76" s="48"/>
      <c r="P76" s="47"/>
      <c r="Q76" s="48"/>
      <c r="R76" s="47"/>
      <c r="S76" s="48"/>
      <c r="T76" s="47"/>
      <c r="U76" s="48"/>
      <c r="V76" s="47"/>
      <c r="W76" s="48"/>
      <c r="X76" s="47"/>
      <c r="Y76" s="106"/>
      <c r="Z76" s="47"/>
      <c r="AA76" s="48"/>
      <c r="AB76" s="78">
        <f t="shared" si="12"/>
        <v>702000</v>
      </c>
      <c r="AC76" s="78">
        <f t="shared" si="13"/>
        <v>3103551.24</v>
      </c>
    </row>
    <row r="77" spans="1:29" ht="18" x14ac:dyDescent="0.35">
      <c r="A77" s="66">
        <v>5</v>
      </c>
      <c r="B77" s="60" t="s">
        <v>6</v>
      </c>
      <c r="C77" s="2" t="s">
        <v>49</v>
      </c>
      <c r="D77" s="47">
        <v>162000</v>
      </c>
      <c r="E77" s="48">
        <v>718618.55</v>
      </c>
      <c r="F77" s="47">
        <v>138000</v>
      </c>
      <c r="G77" s="48">
        <v>634083.73</v>
      </c>
      <c r="H77" s="47">
        <v>135000</v>
      </c>
      <c r="I77" s="48">
        <v>626958.25</v>
      </c>
      <c r="J77" s="47">
        <v>144000</v>
      </c>
      <c r="K77" s="48">
        <v>665824.61</v>
      </c>
      <c r="L77" s="47"/>
      <c r="M77" s="48"/>
      <c r="N77" s="47"/>
      <c r="O77" s="48"/>
      <c r="P77" s="47"/>
      <c r="Q77" s="48"/>
      <c r="R77" s="47"/>
      <c r="S77" s="48"/>
      <c r="T77" s="47"/>
      <c r="U77" s="48"/>
      <c r="V77" s="106"/>
      <c r="W77" s="48"/>
      <c r="X77" s="47"/>
      <c r="Y77" s="48"/>
      <c r="Z77" s="47"/>
      <c r="AA77" s="48"/>
      <c r="AB77" s="78">
        <f t="shared" si="12"/>
        <v>579000</v>
      </c>
      <c r="AC77" s="78">
        <f t="shared" si="13"/>
        <v>2645485.14</v>
      </c>
    </row>
    <row r="78" spans="1:29" ht="18" x14ac:dyDescent="0.35">
      <c r="A78" s="66">
        <v>6</v>
      </c>
      <c r="B78" s="60" t="s">
        <v>8</v>
      </c>
      <c r="C78" s="47" t="s">
        <v>26</v>
      </c>
      <c r="D78" s="47">
        <v>80000</v>
      </c>
      <c r="E78" s="47">
        <v>340838.11</v>
      </c>
      <c r="F78" s="47">
        <v>67000</v>
      </c>
      <c r="G78" s="47">
        <v>287753.59000000003</v>
      </c>
      <c r="H78" s="47">
        <v>63000</v>
      </c>
      <c r="I78" s="47">
        <v>268035.8</v>
      </c>
      <c r="J78" s="47">
        <v>62000</v>
      </c>
      <c r="K78" s="47">
        <v>264909.57</v>
      </c>
      <c r="L78" s="47"/>
      <c r="M78" s="17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78">
        <f t="shared" si="12"/>
        <v>272000</v>
      </c>
      <c r="AC78" s="78">
        <f t="shared" si="13"/>
        <v>1161537.07</v>
      </c>
    </row>
    <row r="79" spans="1:29" ht="18" x14ac:dyDescent="0.35">
      <c r="A79" s="66">
        <v>7</v>
      </c>
      <c r="B79" s="60" t="s">
        <v>9</v>
      </c>
      <c r="C79" s="47" t="s">
        <v>27</v>
      </c>
      <c r="D79" s="106">
        <v>42000</v>
      </c>
      <c r="E79" s="47">
        <v>185328.1</v>
      </c>
      <c r="F79" s="47">
        <v>36000</v>
      </c>
      <c r="G79" s="47">
        <v>161977.74</v>
      </c>
      <c r="H79" s="47">
        <v>36000</v>
      </c>
      <c r="I79" s="47">
        <v>157157.76000000001</v>
      </c>
      <c r="J79" s="47">
        <v>34000</v>
      </c>
      <c r="K79" s="47">
        <v>151626.85999999999</v>
      </c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78">
        <f t="shared" si="12"/>
        <v>148000</v>
      </c>
      <c r="AC79" s="78">
        <f t="shared" si="13"/>
        <v>656090.46</v>
      </c>
    </row>
    <row r="80" spans="1:29" ht="18" x14ac:dyDescent="0.35">
      <c r="A80" s="66">
        <v>8</v>
      </c>
      <c r="B80" s="60" t="s">
        <v>10</v>
      </c>
      <c r="C80" s="47" t="s">
        <v>28</v>
      </c>
      <c r="D80" s="47">
        <v>100000</v>
      </c>
      <c r="E80" s="47">
        <v>489886.67</v>
      </c>
      <c r="F80" s="47">
        <v>83000</v>
      </c>
      <c r="G80" s="47">
        <v>422094.61</v>
      </c>
      <c r="H80" s="47">
        <v>74000</v>
      </c>
      <c r="I80" s="47">
        <v>361909.47</v>
      </c>
      <c r="J80" s="47">
        <v>70000</v>
      </c>
      <c r="K80" s="47">
        <v>343639.54</v>
      </c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106"/>
      <c r="X80" s="121"/>
      <c r="Y80" s="47"/>
      <c r="Z80" s="47"/>
      <c r="AA80" s="47"/>
      <c r="AB80" s="78">
        <f t="shared" si="12"/>
        <v>327000</v>
      </c>
      <c r="AC80" s="78">
        <f t="shared" si="13"/>
        <v>1617530.29</v>
      </c>
    </row>
    <row r="81" spans="1:29" ht="18" x14ac:dyDescent="0.35">
      <c r="A81" s="66">
        <v>9</v>
      </c>
      <c r="B81" s="60" t="s">
        <v>11</v>
      </c>
      <c r="C81" s="47" t="s">
        <v>29</v>
      </c>
      <c r="D81" s="47">
        <v>93000</v>
      </c>
      <c r="E81" s="47">
        <v>426192.16</v>
      </c>
      <c r="F81" s="47">
        <v>74000</v>
      </c>
      <c r="G81" s="47">
        <v>344242.13</v>
      </c>
      <c r="H81" s="47">
        <v>62000</v>
      </c>
      <c r="I81" s="47">
        <v>280236.77</v>
      </c>
      <c r="J81" s="47">
        <v>67000</v>
      </c>
      <c r="K81" s="47">
        <v>320004.78000000003</v>
      </c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78">
        <f t="shared" si="12"/>
        <v>296000</v>
      </c>
      <c r="AC81" s="78">
        <f t="shared" si="13"/>
        <v>1370675.84</v>
      </c>
    </row>
    <row r="82" spans="1:29" ht="18" x14ac:dyDescent="0.35">
      <c r="A82" s="66">
        <v>10</v>
      </c>
      <c r="B82" s="60" t="s">
        <v>12</v>
      </c>
      <c r="C82" s="47" t="s">
        <v>30</v>
      </c>
      <c r="D82" s="47">
        <v>82000</v>
      </c>
      <c r="E82" s="47">
        <v>389477.34</v>
      </c>
      <c r="F82" s="47">
        <v>70000</v>
      </c>
      <c r="G82" s="47">
        <v>330023.49</v>
      </c>
      <c r="H82" s="47">
        <v>55000</v>
      </c>
      <c r="I82" s="106">
        <v>258704.21</v>
      </c>
      <c r="J82" s="47">
        <v>64000</v>
      </c>
      <c r="K82" s="47">
        <v>304255.15000000002</v>
      </c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9"/>
      <c r="X82" s="47"/>
      <c r="Y82" s="49"/>
      <c r="Z82" s="47"/>
      <c r="AA82" s="49"/>
      <c r="AB82" s="78">
        <f t="shared" si="12"/>
        <v>271000</v>
      </c>
      <c r="AC82" s="78">
        <f t="shared" si="13"/>
        <v>1282460.19</v>
      </c>
    </row>
    <row r="83" spans="1:29" ht="18" x14ac:dyDescent="0.35">
      <c r="A83" s="66">
        <v>11</v>
      </c>
      <c r="B83" s="60" t="s">
        <v>13</v>
      </c>
      <c r="C83" s="47" t="s">
        <v>31</v>
      </c>
      <c r="D83" s="47">
        <v>184000</v>
      </c>
      <c r="E83" s="47">
        <v>763082.09</v>
      </c>
      <c r="F83" s="47">
        <v>163000</v>
      </c>
      <c r="G83" s="47">
        <v>674955.27</v>
      </c>
      <c r="H83" s="47">
        <v>158000</v>
      </c>
      <c r="I83" s="47">
        <v>640525.82999999996</v>
      </c>
      <c r="J83" s="47">
        <v>162000</v>
      </c>
      <c r="K83" s="47">
        <v>658613.77</v>
      </c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9"/>
      <c r="X83" s="47"/>
      <c r="Y83" s="49"/>
      <c r="Z83" s="47"/>
      <c r="AA83" s="49"/>
      <c r="AB83" s="78">
        <f t="shared" si="12"/>
        <v>667000</v>
      </c>
      <c r="AC83" s="78">
        <f t="shared" si="13"/>
        <v>2737176.96</v>
      </c>
    </row>
    <row r="84" spans="1:29" ht="18" x14ac:dyDescent="0.35">
      <c r="A84" s="66">
        <v>12</v>
      </c>
      <c r="B84" s="60" t="s">
        <v>14</v>
      </c>
      <c r="C84" s="47" t="s">
        <v>35</v>
      </c>
      <c r="D84" s="47">
        <v>1824</v>
      </c>
      <c r="E84" s="47">
        <v>8730.3799999999992</v>
      </c>
      <c r="F84" s="47">
        <v>1428</v>
      </c>
      <c r="G84" s="49">
        <v>6790.21</v>
      </c>
      <c r="H84" s="47">
        <v>1942</v>
      </c>
      <c r="I84" s="47">
        <v>9308.51</v>
      </c>
      <c r="J84" s="47">
        <v>1595</v>
      </c>
      <c r="K84" s="47">
        <v>7506.01</v>
      </c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106"/>
      <c r="Z84" s="47"/>
      <c r="AA84" s="47"/>
      <c r="AB84" s="78">
        <f t="shared" si="12"/>
        <v>6789</v>
      </c>
      <c r="AC84" s="78">
        <f t="shared" si="13"/>
        <v>32335.11</v>
      </c>
    </row>
    <row r="85" spans="1:29" ht="18" x14ac:dyDescent="0.35">
      <c r="A85" s="66">
        <v>13</v>
      </c>
      <c r="B85" s="60" t="s">
        <v>15</v>
      </c>
      <c r="C85" s="47" t="s">
        <v>32</v>
      </c>
      <c r="D85" s="47">
        <v>50000</v>
      </c>
      <c r="E85" s="47">
        <v>213196.44</v>
      </c>
      <c r="F85" s="47">
        <v>44000</v>
      </c>
      <c r="G85" s="47">
        <v>187712.56</v>
      </c>
      <c r="H85" s="47">
        <v>41000</v>
      </c>
      <c r="I85" s="47">
        <v>172497.51</v>
      </c>
      <c r="J85" s="47">
        <v>41000</v>
      </c>
      <c r="K85" s="47">
        <v>171824.59</v>
      </c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78">
        <f t="shared" si="12"/>
        <v>176000</v>
      </c>
      <c r="AC85" s="78">
        <f t="shared" si="13"/>
        <v>745231.1</v>
      </c>
    </row>
    <row r="86" spans="1:29" ht="18" x14ac:dyDescent="0.35">
      <c r="A86" s="66">
        <v>14</v>
      </c>
      <c r="B86" s="60" t="s">
        <v>16</v>
      </c>
      <c r="C86" s="47" t="s">
        <v>33</v>
      </c>
      <c r="D86" s="47">
        <v>122000</v>
      </c>
      <c r="E86" s="47">
        <v>566571.72</v>
      </c>
      <c r="F86" s="47">
        <v>104000</v>
      </c>
      <c r="G86" s="47">
        <v>478094.13</v>
      </c>
      <c r="H86" s="47">
        <v>88000</v>
      </c>
      <c r="I86" s="47">
        <v>411200.9</v>
      </c>
      <c r="J86" s="47">
        <v>91000</v>
      </c>
      <c r="K86" s="47">
        <v>416749.41</v>
      </c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78">
        <f t="shared" si="12"/>
        <v>405000</v>
      </c>
      <c r="AC86" s="78">
        <f t="shared" si="13"/>
        <v>1872616.16</v>
      </c>
    </row>
    <row r="87" spans="1:29" ht="18" x14ac:dyDescent="0.35">
      <c r="A87" s="66">
        <v>15</v>
      </c>
      <c r="B87" s="60" t="s">
        <v>17</v>
      </c>
      <c r="C87" s="47" t="s">
        <v>34</v>
      </c>
      <c r="D87" s="47">
        <v>187000</v>
      </c>
      <c r="E87" s="47">
        <v>847167.28</v>
      </c>
      <c r="F87" s="47">
        <v>158000</v>
      </c>
      <c r="G87" s="47">
        <v>707182.41</v>
      </c>
      <c r="H87" s="47">
        <v>141000</v>
      </c>
      <c r="I87" s="47">
        <v>621943.44999999995</v>
      </c>
      <c r="J87" s="47">
        <v>140000</v>
      </c>
      <c r="K87" s="47">
        <v>624096.74</v>
      </c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78">
        <f t="shared" si="12"/>
        <v>626000</v>
      </c>
      <c r="AC87" s="78">
        <f t="shared" si="13"/>
        <v>2800389.88</v>
      </c>
    </row>
    <row r="88" spans="1:29" ht="18" x14ac:dyDescent="0.35">
      <c r="A88" s="66">
        <v>16</v>
      </c>
      <c r="B88" s="60" t="s">
        <v>18</v>
      </c>
      <c r="C88" s="47" t="s">
        <v>36</v>
      </c>
      <c r="D88" s="47">
        <v>173000</v>
      </c>
      <c r="E88" s="47">
        <v>806425.96</v>
      </c>
      <c r="F88" s="47">
        <v>139000</v>
      </c>
      <c r="G88" s="47">
        <v>646597.82999999996</v>
      </c>
      <c r="H88" s="47">
        <v>112000</v>
      </c>
      <c r="I88" s="47">
        <v>526334.1</v>
      </c>
      <c r="J88" s="47">
        <v>125000</v>
      </c>
      <c r="K88" s="47">
        <v>571329.59</v>
      </c>
      <c r="L88" s="47"/>
      <c r="M88" s="47"/>
      <c r="N88" s="47"/>
      <c r="O88" s="107"/>
      <c r="P88" s="47"/>
      <c r="Q88" s="47"/>
      <c r="R88" s="47"/>
      <c r="S88" s="47"/>
      <c r="T88" s="47"/>
      <c r="U88" s="47"/>
      <c r="V88" s="106"/>
      <c r="W88" s="47"/>
      <c r="X88" s="106"/>
      <c r="Y88" s="47"/>
      <c r="Z88" s="47"/>
      <c r="AA88" s="47"/>
      <c r="AB88" s="78">
        <f t="shared" si="12"/>
        <v>549000</v>
      </c>
      <c r="AC88" s="78">
        <f t="shared" si="13"/>
        <v>2550687.48</v>
      </c>
    </row>
    <row r="89" spans="1:29" ht="18" x14ac:dyDescent="0.35">
      <c r="A89" s="66">
        <v>17</v>
      </c>
      <c r="B89" s="60" t="s">
        <v>20</v>
      </c>
      <c r="C89" s="47" t="s">
        <v>23</v>
      </c>
      <c r="D89" s="47">
        <v>100000</v>
      </c>
      <c r="E89" s="48">
        <v>379836.04</v>
      </c>
      <c r="F89" s="47">
        <v>83000</v>
      </c>
      <c r="G89" s="48">
        <v>317052.38</v>
      </c>
      <c r="H89" s="47">
        <v>63000</v>
      </c>
      <c r="I89" s="47">
        <v>244979.54</v>
      </c>
      <c r="J89" s="47">
        <v>70000</v>
      </c>
      <c r="K89" s="48">
        <v>270488.17</v>
      </c>
      <c r="L89" s="47"/>
      <c r="M89" s="48"/>
      <c r="N89" s="47"/>
      <c r="O89" s="48"/>
      <c r="P89" s="47"/>
      <c r="Q89" s="48"/>
      <c r="R89" s="47"/>
      <c r="S89" s="48"/>
      <c r="T89" s="47"/>
      <c r="U89" s="48"/>
      <c r="V89" s="47"/>
      <c r="W89" s="48"/>
      <c r="X89" s="47"/>
      <c r="Y89" s="48"/>
      <c r="Z89" s="47"/>
      <c r="AA89" s="48"/>
      <c r="AB89" s="78">
        <f>+D89+F89+H89+J89+L89+N89+P89+R89+T89+V89+X89+Z89</f>
        <v>316000</v>
      </c>
      <c r="AC89" s="78">
        <f>+E89+G89+I89+K89+M89+O89+Q89+S89+U89+W89+Y89+AA89</f>
        <v>1212356.1299999999</v>
      </c>
    </row>
    <row r="90" spans="1:29" ht="18" x14ac:dyDescent="0.35">
      <c r="A90" s="61"/>
      <c r="B90" s="62" t="s">
        <v>24</v>
      </c>
      <c r="C90" s="63"/>
      <c r="D90" s="86">
        <f>SUM(D73:D89)</f>
        <v>1679646</v>
      </c>
      <c r="E90" s="86">
        <f t="shared" ref="E90:AA90" si="14">SUM(E73:E89)</f>
        <v>7505605.6300000008</v>
      </c>
      <c r="F90" s="86">
        <f t="shared" si="14"/>
        <v>1417721</v>
      </c>
      <c r="G90" s="86">
        <f t="shared" si="14"/>
        <v>6444775.7199999997</v>
      </c>
      <c r="H90" s="86">
        <f t="shared" si="14"/>
        <v>1254125</v>
      </c>
      <c r="I90" s="86">
        <f t="shared" si="14"/>
        <v>5576074.1799999997</v>
      </c>
      <c r="J90" s="86">
        <f t="shared" si="14"/>
        <v>1304616</v>
      </c>
      <c r="K90" s="86">
        <f t="shared" si="14"/>
        <v>5824690.9500000002</v>
      </c>
      <c r="L90" s="86">
        <f t="shared" si="14"/>
        <v>0</v>
      </c>
      <c r="M90" s="86">
        <f t="shared" si="14"/>
        <v>0</v>
      </c>
      <c r="N90" s="86">
        <f t="shared" si="14"/>
        <v>0</v>
      </c>
      <c r="O90" s="86">
        <f t="shared" si="14"/>
        <v>0</v>
      </c>
      <c r="P90" s="86">
        <f t="shared" si="14"/>
        <v>0</v>
      </c>
      <c r="Q90" s="86">
        <f t="shared" si="14"/>
        <v>0</v>
      </c>
      <c r="R90" s="65">
        <f t="shared" si="14"/>
        <v>0</v>
      </c>
      <c r="S90" s="65">
        <f t="shared" si="14"/>
        <v>0</v>
      </c>
      <c r="T90" s="65">
        <f t="shared" si="14"/>
        <v>0</v>
      </c>
      <c r="U90" s="65">
        <f t="shared" si="14"/>
        <v>0</v>
      </c>
      <c r="V90" s="65">
        <f t="shared" si="14"/>
        <v>0</v>
      </c>
      <c r="W90" s="65">
        <f t="shared" si="14"/>
        <v>0</v>
      </c>
      <c r="X90" s="65">
        <f t="shared" si="14"/>
        <v>0</v>
      </c>
      <c r="Y90" s="65">
        <f t="shared" si="14"/>
        <v>0</v>
      </c>
      <c r="Z90" s="65">
        <f t="shared" si="14"/>
        <v>0</v>
      </c>
      <c r="AA90" s="65">
        <f t="shared" si="14"/>
        <v>0</v>
      </c>
      <c r="AB90" s="86">
        <f>SUM(AB73:AB89)</f>
        <v>5656108</v>
      </c>
      <c r="AC90" s="86">
        <f>SUM(AC73:AC89)</f>
        <v>25351146.479999997</v>
      </c>
    </row>
  </sheetData>
  <mergeCells count="68">
    <mergeCell ref="AB71:AC71"/>
    <mergeCell ref="A70:AC70"/>
    <mergeCell ref="A71:A72"/>
    <mergeCell ref="B71:B72"/>
    <mergeCell ref="C71:C72"/>
    <mergeCell ref="D71:E71"/>
    <mergeCell ref="F71:G71"/>
    <mergeCell ref="H71:I71"/>
    <mergeCell ref="J71:K71"/>
    <mergeCell ref="L71:M71"/>
    <mergeCell ref="N71:O71"/>
    <mergeCell ref="P71:Q71"/>
    <mergeCell ref="R71:S71"/>
    <mergeCell ref="T71:U71"/>
    <mergeCell ref="V71:W71"/>
    <mergeCell ref="X71:Y71"/>
    <mergeCell ref="Z71:AA71"/>
    <mergeCell ref="A2:A3"/>
    <mergeCell ref="B2:B3"/>
    <mergeCell ref="C2:C3"/>
    <mergeCell ref="X2:Y2"/>
    <mergeCell ref="Z2:AA2"/>
    <mergeCell ref="V2:W2"/>
    <mergeCell ref="F2:G2"/>
    <mergeCell ref="H2:I2"/>
    <mergeCell ref="J2:K2"/>
    <mergeCell ref="L2:M2"/>
    <mergeCell ref="P2:Q2"/>
    <mergeCell ref="H25:I25"/>
    <mergeCell ref="J25:K25"/>
    <mergeCell ref="L25:M25"/>
    <mergeCell ref="N25:O25"/>
    <mergeCell ref="A25:A26"/>
    <mergeCell ref="B25:B26"/>
    <mergeCell ref="C25:C26"/>
    <mergeCell ref="D25:E25"/>
    <mergeCell ref="F25:G25"/>
    <mergeCell ref="A1:AC1"/>
    <mergeCell ref="A24:AC24"/>
    <mergeCell ref="A47:AC47"/>
    <mergeCell ref="A48:A49"/>
    <mergeCell ref="B48:B49"/>
    <mergeCell ref="C48:C49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D2:E2"/>
    <mergeCell ref="V48:W48"/>
    <mergeCell ref="X48:Y48"/>
    <mergeCell ref="Z48:AA48"/>
    <mergeCell ref="AB48:AC48"/>
    <mergeCell ref="N2:O2"/>
    <mergeCell ref="R2:S2"/>
    <mergeCell ref="T2:U2"/>
    <mergeCell ref="AB2:AC2"/>
    <mergeCell ref="AB25:AC25"/>
    <mergeCell ref="R25:S25"/>
    <mergeCell ref="T25:U25"/>
    <mergeCell ref="V25:W25"/>
    <mergeCell ref="X25:Y25"/>
    <mergeCell ref="Z25:AA25"/>
    <mergeCell ref="P25:Q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9DD8-DA7F-4B9D-9E9D-DCE8EFD5AE92}">
  <dimension ref="A1:AA10"/>
  <sheetViews>
    <sheetView topLeftCell="Q1" zoomScale="69" zoomScaleNormal="69" workbookViewId="0">
      <selection activeCell="V14" sqref="V14"/>
    </sheetView>
  </sheetViews>
  <sheetFormatPr defaultRowHeight="17.399999999999999" x14ac:dyDescent="0.3"/>
  <cols>
    <col min="1" max="1" width="8.796875" style="113"/>
    <col min="2" max="2" width="11" style="113" customWidth="1"/>
    <col min="3" max="3" width="12.59765625" style="113" customWidth="1"/>
    <col min="4" max="4" width="11.3984375" style="113" customWidth="1"/>
    <col min="5" max="5" width="11.796875" style="113" customWidth="1"/>
    <col min="6" max="6" width="11.296875" style="113" customWidth="1"/>
    <col min="7" max="7" width="11.796875" style="113" customWidth="1"/>
    <col min="8" max="8" width="11.296875" style="113" customWidth="1"/>
    <col min="9" max="22" width="11.69921875" style="113" customWidth="1"/>
    <col min="23" max="23" width="12.796875" style="113" customWidth="1"/>
    <col min="24" max="24" width="11.69921875" style="113" customWidth="1"/>
    <col min="25" max="25" width="12.8984375" style="113" customWidth="1"/>
    <col min="26" max="26" width="12.296875" style="113" customWidth="1"/>
    <col min="27" max="27" width="11.69921875" style="113" customWidth="1"/>
    <col min="28" max="16384" width="8.796875" style="113"/>
  </cols>
  <sheetData>
    <row r="1" spans="1:27" ht="18" x14ac:dyDescent="0.35">
      <c r="A1" s="199" t="s">
        <v>110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</row>
    <row r="2" spans="1:27" ht="18" x14ac:dyDescent="0.3">
      <c r="A2" s="200"/>
      <c r="B2" s="87" t="s">
        <v>81</v>
      </c>
      <c r="C2" s="88"/>
      <c r="D2" s="92" t="s">
        <v>82</v>
      </c>
      <c r="E2" s="89"/>
      <c r="F2" s="92" t="s">
        <v>83</v>
      </c>
      <c r="G2" s="68"/>
      <c r="H2" s="67" t="s">
        <v>84</v>
      </c>
      <c r="I2" s="89"/>
      <c r="J2" s="67" t="s">
        <v>85</v>
      </c>
      <c r="K2" s="89"/>
      <c r="L2" s="67" t="s">
        <v>86</v>
      </c>
      <c r="M2" s="89"/>
      <c r="N2" s="67" t="s">
        <v>87</v>
      </c>
      <c r="O2" s="89"/>
      <c r="P2" s="67" t="s">
        <v>88</v>
      </c>
      <c r="Q2" s="89"/>
      <c r="R2" s="67" t="s">
        <v>90</v>
      </c>
      <c r="S2" s="89"/>
      <c r="T2" s="67" t="s">
        <v>89</v>
      </c>
      <c r="U2" s="89"/>
      <c r="V2" s="67" t="s">
        <v>78</v>
      </c>
      <c r="W2" s="89"/>
      <c r="X2" s="67" t="s">
        <v>79</v>
      </c>
      <c r="Y2" s="89"/>
      <c r="Z2" s="195" t="s">
        <v>80</v>
      </c>
      <c r="AA2" s="196"/>
    </row>
    <row r="3" spans="1:27" ht="18" x14ac:dyDescent="0.3">
      <c r="A3" s="201"/>
      <c r="B3" s="26" t="s">
        <v>40</v>
      </c>
      <c r="C3" s="26" t="s">
        <v>41</v>
      </c>
      <c r="D3" s="26" t="s">
        <v>40</v>
      </c>
      <c r="E3" s="26" t="s">
        <v>41</v>
      </c>
      <c r="F3" s="26" t="s">
        <v>40</v>
      </c>
      <c r="G3" s="26" t="s">
        <v>41</v>
      </c>
      <c r="H3" s="26" t="s">
        <v>40</v>
      </c>
      <c r="I3" s="26" t="s">
        <v>41</v>
      </c>
      <c r="J3" s="26" t="s">
        <v>40</v>
      </c>
      <c r="K3" s="26" t="s">
        <v>41</v>
      </c>
      <c r="L3" s="26" t="s">
        <v>40</v>
      </c>
      <c r="M3" s="26" t="s">
        <v>41</v>
      </c>
      <c r="N3" s="26" t="s">
        <v>40</v>
      </c>
      <c r="O3" s="26" t="s">
        <v>41</v>
      </c>
      <c r="P3" s="26" t="s">
        <v>40</v>
      </c>
      <c r="Q3" s="26" t="s">
        <v>41</v>
      </c>
      <c r="R3" s="26" t="s">
        <v>40</v>
      </c>
      <c r="S3" s="26" t="s">
        <v>41</v>
      </c>
      <c r="T3" s="26" t="s">
        <v>40</v>
      </c>
      <c r="U3" s="26" t="s">
        <v>41</v>
      </c>
      <c r="V3" s="26" t="s">
        <v>40</v>
      </c>
      <c r="W3" s="26" t="s">
        <v>41</v>
      </c>
      <c r="X3" s="26" t="s">
        <v>40</v>
      </c>
      <c r="Y3" s="26" t="s">
        <v>41</v>
      </c>
      <c r="Z3" s="26" t="s">
        <v>40</v>
      </c>
      <c r="AA3" s="26" t="s">
        <v>92</v>
      </c>
    </row>
    <row r="4" spans="1:27" ht="18" x14ac:dyDescent="0.35">
      <c r="A4" s="7">
        <v>2566</v>
      </c>
      <c r="B4" s="2">
        <v>933000</v>
      </c>
      <c r="C4" s="19">
        <v>4263033.57</v>
      </c>
      <c r="D4" s="2">
        <v>950000</v>
      </c>
      <c r="E4" s="19">
        <v>4453808.0599999996</v>
      </c>
      <c r="F4" s="2">
        <v>853000</v>
      </c>
      <c r="G4" s="2">
        <v>3943768.59</v>
      </c>
      <c r="H4" s="2">
        <v>790000</v>
      </c>
      <c r="I4" s="2">
        <v>4234749.1399999997</v>
      </c>
      <c r="J4" s="2">
        <v>758000</v>
      </c>
      <c r="K4" s="2">
        <v>4078974.86</v>
      </c>
      <c r="L4" s="2">
        <v>852000</v>
      </c>
      <c r="M4" s="19">
        <v>4592269.2300000004</v>
      </c>
      <c r="N4" s="2">
        <v>777000</v>
      </c>
      <c r="O4" s="2">
        <v>4108147.58</v>
      </c>
      <c r="P4" s="2">
        <v>908000</v>
      </c>
      <c r="Q4" s="2">
        <v>4245280.13</v>
      </c>
      <c r="R4" s="2">
        <v>938000</v>
      </c>
      <c r="S4" s="2">
        <v>4774010.62</v>
      </c>
      <c r="T4" s="2">
        <v>855000</v>
      </c>
      <c r="U4" s="2">
        <v>4088894.75</v>
      </c>
      <c r="V4" s="2">
        <v>839000</v>
      </c>
      <c r="W4" s="2">
        <v>3956370.28</v>
      </c>
      <c r="X4" s="2">
        <v>851000</v>
      </c>
      <c r="Y4" s="2">
        <v>3827371.9</v>
      </c>
      <c r="Z4" s="2">
        <f t="shared" ref="Z4:AA4" si="0">+B4+D4+F4+H4+J4+L4+N4+P4+R4+T4+V4+X4</f>
        <v>10304000</v>
      </c>
      <c r="AA4" s="2">
        <f t="shared" si="0"/>
        <v>50566678.710000001</v>
      </c>
    </row>
    <row r="5" spans="1:27" ht="18" x14ac:dyDescent="0.35">
      <c r="A5" s="7">
        <v>2567</v>
      </c>
      <c r="B5" s="25">
        <v>821000</v>
      </c>
      <c r="C5" s="90">
        <v>2858222.39</v>
      </c>
      <c r="D5" s="25">
        <v>832000</v>
      </c>
      <c r="E5" s="90">
        <v>3316592.12</v>
      </c>
      <c r="F5" s="25">
        <v>699000</v>
      </c>
      <c r="G5" s="25">
        <v>2748527.38</v>
      </c>
      <c r="H5" s="47">
        <v>718000</v>
      </c>
      <c r="I5" s="47">
        <v>3005521.33</v>
      </c>
      <c r="J5" s="2">
        <v>725000</v>
      </c>
      <c r="K5" s="2">
        <v>3077637.51</v>
      </c>
      <c r="L5" s="47">
        <v>806000</v>
      </c>
      <c r="M5" s="49">
        <v>3355104.5</v>
      </c>
      <c r="N5" s="47">
        <v>768000</v>
      </c>
      <c r="O5" s="47">
        <v>3227386.13</v>
      </c>
      <c r="P5" s="47">
        <v>817000</v>
      </c>
      <c r="Q5" s="47">
        <v>3402943.53</v>
      </c>
      <c r="R5" s="107">
        <v>767000</v>
      </c>
      <c r="S5" s="120">
        <v>3164728.71</v>
      </c>
      <c r="T5" s="121">
        <v>770000</v>
      </c>
      <c r="U5" s="107">
        <v>3232590.82</v>
      </c>
      <c r="V5" s="47">
        <v>827000</v>
      </c>
      <c r="W5" s="48">
        <v>3441178.96</v>
      </c>
      <c r="X5" s="47">
        <v>758000</v>
      </c>
      <c r="Y5" s="167">
        <v>3180246.34</v>
      </c>
      <c r="Z5" s="2">
        <f t="shared" ref="Z5:AA7" si="1">+B5+D5+F5+H5+J5+L5+N5+P5+R5+T5+V5+X5</f>
        <v>9308000</v>
      </c>
      <c r="AA5" s="2">
        <f t="shared" si="1"/>
        <v>38010679.719999999</v>
      </c>
    </row>
    <row r="6" spans="1:27" ht="18" x14ac:dyDescent="0.35">
      <c r="A6" s="7">
        <v>2568</v>
      </c>
      <c r="B6" s="47">
        <v>747000</v>
      </c>
      <c r="C6" s="49">
        <v>3151699.02</v>
      </c>
      <c r="D6" s="47">
        <v>769000</v>
      </c>
      <c r="E6" s="49">
        <v>3227944.52</v>
      </c>
      <c r="F6" s="47">
        <v>651000</v>
      </c>
      <c r="G6" s="47">
        <v>2665410.81</v>
      </c>
      <c r="H6" s="47">
        <v>615000</v>
      </c>
      <c r="I6" s="47">
        <v>2540708.56</v>
      </c>
      <c r="J6" s="47">
        <v>672000</v>
      </c>
      <c r="K6" s="47">
        <v>2786272.21</v>
      </c>
      <c r="L6" s="112">
        <v>774000</v>
      </c>
      <c r="M6" s="173">
        <v>3455544.84</v>
      </c>
      <c r="N6" s="112">
        <v>657000</v>
      </c>
      <c r="O6" s="112">
        <v>4100765.69</v>
      </c>
      <c r="P6" s="47">
        <v>753000</v>
      </c>
      <c r="Q6" s="47">
        <v>2979352.79</v>
      </c>
      <c r="R6" s="107">
        <v>715000</v>
      </c>
      <c r="S6" s="120">
        <v>2860465.82</v>
      </c>
      <c r="T6" s="175">
        <v>740000</v>
      </c>
      <c r="U6" s="174">
        <v>2934438.53</v>
      </c>
      <c r="V6" s="112">
        <v>814000</v>
      </c>
      <c r="W6" s="53">
        <v>3209712.08</v>
      </c>
      <c r="X6" s="47">
        <v>790000</v>
      </c>
      <c r="Y6" s="167">
        <v>3132564.4</v>
      </c>
      <c r="Z6" s="2">
        <f t="shared" si="1"/>
        <v>8697000</v>
      </c>
      <c r="AA6" s="2">
        <f t="shared" si="1"/>
        <v>37044879.270000003</v>
      </c>
    </row>
    <row r="7" spans="1:27" ht="18" x14ac:dyDescent="0.35">
      <c r="A7" s="7">
        <v>2569</v>
      </c>
      <c r="B7" s="112">
        <v>764000</v>
      </c>
      <c r="C7" s="173">
        <v>4780666.4400000004</v>
      </c>
      <c r="D7" s="47">
        <v>630000</v>
      </c>
      <c r="E7" s="49">
        <v>2517624.44</v>
      </c>
      <c r="F7" s="112">
        <v>614000</v>
      </c>
      <c r="G7" s="112">
        <v>2388348.33</v>
      </c>
      <c r="H7" s="112">
        <v>654000</v>
      </c>
      <c r="I7" s="112">
        <v>2526717.73</v>
      </c>
      <c r="J7" s="112"/>
      <c r="K7" s="112"/>
      <c r="L7" s="112"/>
      <c r="M7" s="173"/>
      <c r="N7" s="112"/>
      <c r="O7" s="112"/>
      <c r="P7" s="112"/>
      <c r="Q7" s="112"/>
      <c r="R7" s="174"/>
      <c r="S7" s="193"/>
      <c r="T7" s="175"/>
      <c r="U7" s="174"/>
      <c r="V7" s="112"/>
      <c r="W7" s="53"/>
      <c r="X7" s="112"/>
      <c r="Y7" s="194"/>
      <c r="Z7" s="2">
        <f t="shared" si="1"/>
        <v>2662000</v>
      </c>
      <c r="AA7" s="2">
        <f t="shared" si="1"/>
        <v>12213356.940000001</v>
      </c>
    </row>
    <row r="8" spans="1:27" ht="18.600000000000001" thickBot="1" x14ac:dyDescent="0.4">
      <c r="A8" s="91" t="s">
        <v>38</v>
      </c>
      <c r="B8" s="17">
        <f>SUM(B4:B7)</f>
        <v>3265000</v>
      </c>
      <c r="C8" s="17">
        <f t="shared" ref="C8:AA8" si="2">SUM(C4:C7)</f>
        <v>15053621.420000002</v>
      </c>
      <c r="D8" s="17">
        <f t="shared" si="2"/>
        <v>3181000</v>
      </c>
      <c r="E8" s="17">
        <f t="shared" si="2"/>
        <v>13515969.139999999</v>
      </c>
      <c r="F8" s="17">
        <f t="shared" si="2"/>
        <v>2817000</v>
      </c>
      <c r="G8" s="17">
        <f t="shared" si="2"/>
        <v>11746055.109999999</v>
      </c>
      <c r="H8" s="17">
        <f t="shared" si="2"/>
        <v>2777000</v>
      </c>
      <c r="I8" s="17">
        <f t="shared" si="2"/>
        <v>12307696.76</v>
      </c>
      <c r="J8" s="17">
        <f t="shared" si="2"/>
        <v>2155000</v>
      </c>
      <c r="K8" s="17">
        <f t="shared" si="2"/>
        <v>9942884.5799999982</v>
      </c>
      <c r="L8" s="17">
        <f t="shared" si="2"/>
        <v>2432000</v>
      </c>
      <c r="M8" s="17">
        <f t="shared" si="2"/>
        <v>11402918.57</v>
      </c>
      <c r="N8" s="17">
        <f t="shared" si="2"/>
        <v>2202000</v>
      </c>
      <c r="O8" s="17">
        <f t="shared" si="2"/>
        <v>11436299.4</v>
      </c>
      <c r="P8" s="17">
        <f t="shared" si="2"/>
        <v>2478000</v>
      </c>
      <c r="Q8" s="17">
        <f t="shared" si="2"/>
        <v>10627576.449999999</v>
      </c>
      <c r="R8" s="17">
        <f t="shared" si="2"/>
        <v>2420000</v>
      </c>
      <c r="S8" s="17">
        <f t="shared" si="2"/>
        <v>10799205.15</v>
      </c>
      <c r="T8" s="17">
        <f t="shared" si="2"/>
        <v>2365000</v>
      </c>
      <c r="U8" s="17">
        <f t="shared" si="2"/>
        <v>10255924.1</v>
      </c>
      <c r="V8" s="17">
        <f t="shared" si="2"/>
        <v>2480000</v>
      </c>
      <c r="W8" s="17">
        <f t="shared" si="2"/>
        <v>10607261.32</v>
      </c>
      <c r="X8" s="17">
        <f t="shared" si="2"/>
        <v>2399000</v>
      </c>
      <c r="Y8" s="17">
        <f t="shared" si="2"/>
        <v>10140182.640000001</v>
      </c>
      <c r="Z8" s="17">
        <f t="shared" si="2"/>
        <v>30971000</v>
      </c>
      <c r="AA8" s="17">
        <f t="shared" si="2"/>
        <v>137835594.64000002</v>
      </c>
    </row>
    <row r="9" spans="1:27" ht="18.600000000000001" thickTop="1" x14ac:dyDescent="0.35">
      <c r="Z9" s="123"/>
      <c r="AA9" s="122"/>
    </row>
    <row r="10" spans="1:27" ht="23.4" x14ac:dyDescent="0.6">
      <c r="Z10" s="125"/>
      <c r="AA10" s="124"/>
    </row>
  </sheetData>
  <mergeCells count="3">
    <mergeCell ref="A2:A3"/>
    <mergeCell ref="Z2:AA2"/>
    <mergeCell ref="A1:A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B392C-9B29-4685-89CF-E80890529876}">
  <dimension ref="A1:AC48"/>
  <sheetViews>
    <sheetView topLeftCell="A24" zoomScale="82" zoomScaleNormal="82" workbookViewId="0">
      <selection activeCell="G51" sqref="G51"/>
    </sheetView>
  </sheetViews>
  <sheetFormatPr defaultRowHeight="15" x14ac:dyDescent="0.25"/>
  <cols>
    <col min="1" max="1" width="8.796875" style="126"/>
    <col min="2" max="2" width="9.8984375" style="126" customWidth="1"/>
    <col min="3" max="3" width="16.09765625" style="126" customWidth="1"/>
    <col min="4" max="4" width="10.296875" style="126" bestFit="1" customWidth="1"/>
    <col min="5" max="5" width="10" style="126" customWidth="1"/>
    <col min="6" max="6" width="8.796875" style="126"/>
    <col min="7" max="7" width="9.69921875" style="126" customWidth="1"/>
    <col min="8" max="8" width="8.796875" style="126"/>
    <col min="9" max="9" width="9.5" style="126" customWidth="1"/>
    <col min="10" max="10" width="10.296875" style="126" bestFit="1" customWidth="1"/>
    <col min="11" max="11" width="9.5" style="126" customWidth="1"/>
    <col min="12" max="12" width="8.796875" style="126"/>
    <col min="13" max="13" width="9.69921875" style="126" customWidth="1"/>
    <col min="14" max="15" width="9.3984375" style="126" customWidth="1"/>
    <col min="16" max="26" width="8.796875" style="126"/>
    <col min="27" max="27" width="10.3984375" style="126" customWidth="1"/>
    <col min="28" max="29" width="10" style="126" customWidth="1"/>
    <col min="30" max="16384" width="8.796875" style="126"/>
  </cols>
  <sheetData>
    <row r="1" spans="1:29" ht="15.6" x14ac:dyDescent="0.3">
      <c r="A1" s="210" t="s">
        <v>63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</row>
    <row r="3" spans="1:29" ht="15.6" x14ac:dyDescent="0.25">
      <c r="A3" s="213" t="s">
        <v>0</v>
      </c>
      <c r="B3" s="213" t="s">
        <v>77</v>
      </c>
      <c r="C3" s="215" t="s">
        <v>2</v>
      </c>
      <c r="D3" s="211" t="s">
        <v>51</v>
      </c>
      <c r="E3" s="212"/>
      <c r="F3" s="211" t="s">
        <v>52</v>
      </c>
      <c r="G3" s="212"/>
      <c r="H3" s="211" t="s">
        <v>53</v>
      </c>
      <c r="I3" s="212"/>
      <c r="J3" s="211" t="s">
        <v>54</v>
      </c>
      <c r="K3" s="212"/>
      <c r="L3" s="211" t="s">
        <v>55</v>
      </c>
      <c r="M3" s="212"/>
      <c r="N3" s="211" t="s">
        <v>56</v>
      </c>
      <c r="O3" s="212"/>
      <c r="P3" s="211" t="s">
        <v>57</v>
      </c>
      <c r="Q3" s="212"/>
      <c r="R3" s="211" t="s">
        <v>58</v>
      </c>
      <c r="S3" s="212"/>
      <c r="T3" s="211" t="s">
        <v>59</v>
      </c>
      <c r="U3" s="212"/>
      <c r="V3" s="211" t="s">
        <v>60</v>
      </c>
      <c r="W3" s="212"/>
      <c r="X3" s="211" t="s">
        <v>61</v>
      </c>
      <c r="Y3" s="212"/>
      <c r="Z3" s="211" t="s">
        <v>62</v>
      </c>
      <c r="AA3" s="212"/>
      <c r="AB3" s="208" t="s">
        <v>24</v>
      </c>
      <c r="AC3" s="209"/>
    </row>
    <row r="4" spans="1:29" ht="15.6" x14ac:dyDescent="0.25">
      <c r="A4" s="214"/>
      <c r="B4" s="214"/>
      <c r="C4" s="216"/>
      <c r="D4" s="127" t="s">
        <v>3</v>
      </c>
      <c r="E4" s="127" t="s">
        <v>39</v>
      </c>
      <c r="F4" s="127" t="s">
        <v>3</v>
      </c>
      <c r="G4" s="127" t="s">
        <v>39</v>
      </c>
      <c r="H4" s="127" t="s">
        <v>3</v>
      </c>
      <c r="I4" s="127" t="s">
        <v>39</v>
      </c>
      <c r="J4" s="127" t="s">
        <v>3</v>
      </c>
      <c r="K4" s="127" t="s">
        <v>39</v>
      </c>
      <c r="L4" s="127" t="s">
        <v>3</v>
      </c>
      <c r="M4" s="127" t="s">
        <v>39</v>
      </c>
      <c r="N4" s="127" t="s">
        <v>3</v>
      </c>
      <c r="O4" s="127" t="s">
        <v>39</v>
      </c>
      <c r="P4" s="127" t="s">
        <v>3</v>
      </c>
      <c r="Q4" s="127" t="s">
        <v>39</v>
      </c>
      <c r="R4" s="127" t="s">
        <v>3</v>
      </c>
      <c r="S4" s="127" t="s">
        <v>39</v>
      </c>
      <c r="T4" s="127" t="s">
        <v>3</v>
      </c>
      <c r="U4" s="127" t="s">
        <v>39</v>
      </c>
      <c r="V4" s="127" t="s">
        <v>3</v>
      </c>
      <c r="W4" s="127" t="s">
        <v>39</v>
      </c>
      <c r="X4" s="127" t="s">
        <v>3</v>
      </c>
      <c r="Y4" s="127" t="s">
        <v>39</v>
      </c>
      <c r="Z4" s="127" t="s">
        <v>3</v>
      </c>
      <c r="AA4" s="127" t="s">
        <v>39</v>
      </c>
      <c r="AB4" s="127" t="s">
        <v>3</v>
      </c>
      <c r="AC4" s="127" t="s">
        <v>39</v>
      </c>
    </row>
    <row r="5" spans="1:29" ht="15.6" x14ac:dyDescent="0.3">
      <c r="A5" s="128">
        <v>1</v>
      </c>
      <c r="B5" s="129">
        <v>5701540304</v>
      </c>
      <c r="C5" s="130" t="s">
        <v>37</v>
      </c>
      <c r="D5" s="132">
        <v>62484</v>
      </c>
      <c r="E5" s="142">
        <v>321005.36</v>
      </c>
      <c r="F5" s="132">
        <v>66840</v>
      </c>
      <c r="G5" s="142">
        <v>347805.22</v>
      </c>
      <c r="H5" s="132">
        <v>49092</v>
      </c>
      <c r="I5" s="138">
        <v>252056.88</v>
      </c>
      <c r="J5" s="132">
        <v>54228</v>
      </c>
      <c r="K5" s="142">
        <v>313126.69</v>
      </c>
      <c r="L5" s="132">
        <v>62916</v>
      </c>
      <c r="M5" s="143">
        <v>371293.78</v>
      </c>
      <c r="N5" s="140">
        <v>83196</v>
      </c>
      <c r="O5" s="142">
        <v>488364.77</v>
      </c>
      <c r="P5" s="132">
        <v>81504</v>
      </c>
      <c r="Q5" s="142">
        <v>465237.33</v>
      </c>
      <c r="R5" s="132">
        <v>95340</v>
      </c>
      <c r="S5" s="142">
        <v>497652.6</v>
      </c>
      <c r="T5" s="140">
        <v>63324</v>
      </c>
      <c r="U5" s="138">
        <v>341385.9</v>
      </c>
      <c r="V5" s="132">
        <v>66396</v>
      </c>
      <c r="W5" s="142">
        <v>348472.03</v>
      </c>
      <c r="X5" s="132">
        <v>81420</v>
      </c>
      <c r="Y5" s="142">
        <v>424146.19</v>
      </c>
      <c r="Z5" s="132">
        <v>81228</v>
      </c>
      <c r="AA5" s="142">
        <v>361662.73</v>
      </c>
      <c r="AB5" s="132">
        <f t="shared" ref="AB5:AC9" si="0">+D5+F5+H5+J5+L5+N5+P5+R5+T5+V5+X5+Z5</f>
        <v>847968</v>
      </c>
      <c r="AC5" s="132">
        <f t="shared" si="0"/>
        <v>4532209.4799999995</v>
      </c>
    </row>
    <row r="6" spans="1:29" ht="15.6" x14ac:dyDescent="0.3">
      <c r="A6" s="128">
        <v>2</v>
      </c>
      <c r="B6" s="133">
        <v>20964080</v>
      </c>
      <c r="C6" s="132" t="s">
        <v>37</v>
      </c>
      <c r="D6" s="132">
        <v>1692</v>
      </c>
      <c r="E6" s="138">
        <v>20326.419999999998</v>
      </c>
      <c r="F6" s="132">
        <v>1608</v>
      </c>
      <c r="G6" s="138">
        <v>17822.43</v>
      </c>
      <c r="H6" s="140">
        <v>1460</v>
      </c>
      <c r="I6" s="138">
        <v>11954.25</v>
      </c>
      <c r="J6" s="132">
        <v>1432</v>
      </c>
      <c r="K6" s="138">
        <v>13053.1</v>
      </c>
      <c r="L6" s="132">
        <v>1280</v>
      </c>
      <c r="M6" s="144">
        <v>14278.26</v>
      </c>
      <c r="N6" s="132">
        <v>1240</v>
      </c>
      <c r="O6" s="138">
        <v>11849.43</v>
      </c>
      <c r="P6" s="132">
        <v>996</v>
      </c>
      <c r="Q6" s="138">
        <v>10653.01</v>
      </c>
      <c r="R6" s="132">
        <v>588</v>
      </c>
      <c r="S6" s="138">
        <v>9510.2099999999991</v>
      </c>
      <c r="T6" s="132">
        <v>652</v>
      </c>
      <c r="U6" s="138">
        <v>9632.65</v>
      </c>
      <c r="V6" s="140">
        <v>748</v>
      </c>
      <c r="W6" s="138">
        <v>9666.33</v>
      </c>
      <c r="X6" s="140">
        <v>1212</v>
      </c>
      <c r="Y6" s="138">
        <v>10951.03</v>
      </c>
      <c r="Z6" s="132">
        <v>928</v>
      </c>
      <c r="AA6" s="138">
        <v>9139.83</v>
      </c>
      <c r="AB6" s="132">
        <f t="shared" si="0"/>
        <v>13836</v>
      </c>
      <c r="AC6" s="132">
        <f t="shared" si="0"/>
        <v>148836.94999999998</v>
      </c>
    </row>
    <row r="7" spans="1:29" ht="15.6" x14ac:dyDescent="0.3">
      <c r="A7" s="128">
        <v>3</v>
      </c>
      <c r="B7" s="133">
        <v>27685433</v>
      </c>
      <c r="C7" s="132" t="s">
        <v>37</v>
      </c>
      <c r="D7" s="132">
        <v>0</v>
      </c>
      <c r="E7" s="138">
        <v>3779.04</v>
      </c>
      <c r="F7" s="131">
        <v>0</v>
      </c>
      <c r="G7" s="138">
        <v>3779.04</v>
      </c>
      <c r="H7" s="131">
        <v>0</v>
      </c>
      <c r="I7" s="147">
        <v>0</v>
      </c>
      <c r="J7" s="148">
        <v>0</v>
      </c>
      <c r="K7" s="148">
        <v>0</v>
      </c>
      <c r="L7" s="148">
        <v>0</v>
      </c>
      <c r="M7" s="148">
        <v>0</v>
      </c>
      <c r="N7" s="148">
        <v>0</v>
      </c>
      <c r="O7" s="148">
        <v>0</v>
      </c>
      <c r="P7" s="148">
        <v>0</v>
      </c>
      <c r="Q7" s="148">
        <v>0</v>
      </c>
      <c r="R7" s="148">
        <v>0</v>
      </c>
      <c r="S7" s="148">
        <v>0</v>
      </c>
      <c r="T7" s="149">
        <v>0</v>
      </c>
      <c r="U7" s="147">
        <v>0</v>
      </c>
      <c r="V7" s="149">
        <v>0</v>
      </c>
      <c r="W7" s="147">
        <v>0</v>
      </c>
      <c r="X7" s="148">
        <v>0</v>
      </c>
      <c r="Y7" s="148">
        <v>0</v>
      </c>
      <c r="Z7" s="148">
        <v>0</v>
      </c>
      <c r="AA7" s="148">
        <v>0</v>
      </c>
      <c r="AB7" s="132">
        <f t="shared" si="0"/>
        <v>0</v>
      </c>
      <c r="AC7" s="132">
        <f t="shared" si="0"/>
        <v>7558.08</v>
      </c>
    </row>
    <row r="8" spans="1:29" ht="15.6" x14ac:dyDescent="0.3">
      <c r="A8" s="128">
        <v>4</v>
      </c>
      <c r="B8" s="134">
        <v>6300579652</v>
      </c>
      <c r="C8" s="132" t="s">
        <v>50</v>
      </c>
      <c r="D8" s="147">
        <v>0</v>
      </c>
      <c r="E8" s="147">
        <v>0</v>
      </c>
      <c r="F8" s="150">
        <v>0</v>
      </c>
      <c r="G8" s="147">
        <v>0</v>
      </c>
      <c r="H8" s="145">
        <v>288.86</v>
      </c>
      <c r="I8" s="138">
        <v>4067.81</v>
      </c>
      <c r="J8" s="145">
        <v>177.89</v>
      </c>
      <c r="K8" s="138">
        <v>4073.92</v>
      </c>
      <c r="L8" s="147">
        <v>257.04000000000002</v>
      </c>
      <c r="M8" s="138">
        <v>4205.12</v>
      </c>
      <c r="N8" s="150">
        <v>288.05</v>
      </c>
      <c r="O8" s="138">
        <v>4256.5200000000004</v>
      </c>
      <c r="P8" s="147">
        <v>236.64</v>
      </c>
      <c r="Q8" s="138">
        <v>1627.47</v>
      </c>
      <c r="R8" s="147">
        <v>180</v>
      </c>
      <c r="S8" s="147">
        <v>1262.53</v>
      </c>
      <c r="T8" s="147">
        <v>0</v>
      </c>
      <c r="U8" s="147">
        <v>0</v>
      </c>
      <c r="V8" s="147">
        <v>0</v>
      </c>
      <c r="W8" s="147">
        <v>0</v>
      </c>
      <c r="X8" s="151">
        <v>175.2</v>
      </c>
      <c r="Y8" s="147">
        <v>1237.77</v>
      </c>
      <c r="Z8" s="147">
        <v>0</v>
      </c>
      <c r="AA8" s="147">
        <v>0</v>
      </c>
      <c r="AB8" s="132">
        <f t="shared" si="0"/>
        <v>1603.68</v>
      </c>
      <c r="AC8" s="132">
        <f t="shared" si="0"/>
        <v>20731.14</v>
      </c>
    </row>
    <row r="9" spans="1:29" ht="15.6" x14ac:dyDescent="0.3">
      <c r="A9" s="128">
        <v>5</v>
      </c>
      <c r="B9" s="133">
        <v>6500729436</v>
      </c>
      <c r="C9" s="132" t="s">
        <v>37</v>
      </c>
      <c r="D9" s="147">
        <v>0</v>
      </c>
      <c r="E9" s="147">
        <v>0</v>
      </c>
      <c r="F9" s="147">
        <v>0</v>
      </c>
      <c r="G9" s="147">
        <v>0</v>
      </c>
      <c r="H9" s="147">
        <v>0</v>
      </c>
      <c r="I9" s="147">
        <v>0</v>
      </c>
      <c r="J9" s="148">
        <v>0</v>
      </c>
      <c r="K9" s="148">
        <v>0</v>
      </c>
      <c r="L9" s="148">
        <v>0</v>
      </c>
      <c r="M9" s="148">
        <v>0</v>
      </c>
      <c r="N9" s="148">
        <v>0</v>
      </c>
      <c r="O9" s="148">
        <v>0</v>
      </c>
      <c r="P9" s="148">
        <v>0</v>
      </c>
      <c r="Q9" s="148">
        <v>0</v>
      </c>
      <c r="R9" s="148">
        <v>0</v>
      </c>
      <c r="S9" s="148">
        <v>0</v>
      </c>
      <c r="T9" s="152">
        <v>180</v>
      </c>
      <c r="U9" s="152">
        <v>1262.53</v>
      </c>
      <c r="V9" s="139">
        <v>39.200000000000003</v>
      </c>
      <c r="W9" s="139">
        <v>536.29</v>
      </c>
      <c r="X9" s="148">
        <v>0</v>
      </c>
      <c r="Y9" s="148">
        <v>0</v>
      </c>
      <c r="Z9" s="139">
        <v>180.8</v>
      </c>
      <c r="AA9" s="139">
        <v>1129.8599999999999</v>
      </c>
      <c r="AB9" s="132">
        <f t="shared" si="0"/>
        <v>400</v>
      </c>
      <c r="AC9" s="132">
        <f t="shared" si="0"/>
        <v>2928.68</v>
      </c>
    </row>
    <row r="10" spans="1:29" s="141" customFormat="1" ht="15.6" x14ac:dyDescent="0.3">
      <c r="A10" s="135"/>
      <c r="B10" s="136" t="s">
        <v>24</v>
      </c>
      <c r="C10" s="137"/>
      <c r="D10" s="146">
        <f>SUM(D5:D9)</f>
        <v>64176</v>
      </c>
      <c r="E10" s="146">
        <f t="shared" ref="E10:AC10" si="1">SUM(E5:E9)</f>
        <v>345110.81999999995</v>
      </c>
      <c r="F10" s="146">
        <f t="shared" si="1"/>
        <v>68448</v>
      </c>
      <c r="G10" s="146">
        <f t="shared" si="1"/>
        <v>369406.68999999994</v>
      </c>
      <c r="H10" s="146">
        <f t="shared" si="1"/>
        <v>50840.86</v>
      </c>
      <c r="I10" s="146">
        <f t="shared" si="1"/>
        <v>268078.94</v>
      </c>
      <c r="J10" s="146">
        <f t="shared" si="1"/>
        <v>55837.89</v>
      </c>
      <c r="K10" s="146">
        <f t="shared" si="1"/>
        <v>330253.70999999996</v>
      </c>
      <c r="L10" s="146">
        <f t="shared" si="1"/>
        <v>64453.04</v>
      </c>
      <c r="M10" s="146">
        <f t="shared" si="1"/>
        <v>389777.16000000003</v>
      </c>
      <c r="N10" s="146">
        <f t="shared" si="1"/>
        <v>84724.05</v>
      </c>
      <c r="O10" s="146">
        <f t="shared" si="1"/>
        <v>504470.72000000003</v>
      </c>
      <c r="P10" s="146">
        <f t="shared" si="1"/>
        <v>82736.639999999999</v>
      </c>
      <c r="Q10" s="146">
        <f t="shared" si="1"/>
        <v>477517.81</v>
      </c>
      <c r="R10" s="146">
        <f t="shared" si="1"/>
        <v>96108</v>
      </c>
      <c r="S10" s="146">
        <f t="shared" si="1"/>
        <v>508425.34</v>
      </c>
      <c r="T10" s="146">
        <f t="shared" si="1"/>
        <v>64156</v>
      </c>
      <c r="U10" s="146">
        <f t="shared" si="1"/>
        <v>352281.08000000007</v>
      </c>
      <c r="V10" s="146">
        <f t="shared" si="1"/>
        <v>67183.199999999997</v>
      </c>
      <c r="W10" s="146">
        <f t="shared" si="1"/>
        <v>358674.65</v>
      </c>
      <c r="X10" s="146">
        <f t="shared" si="1"/>
        <v>82807.199999999997</v>
      </c>
      <c r="Y10" s="146">
        <f t="shared" si="1"/>
        <v>436334.99000000005</v>
      </c>
      <c r="Z10" s="146">
        <f t="shared" si="1"/>
        <v>82336.800000000003</v>
      </c>
      <c r="AA10" s="146">
        <f t="shared" si="1"/>
        <v>371932.42</v>
      </c>
      <c r="AB10" s="146">
        <f t="shared" si="1"/>
        <v>863807.68</v>
      </c>
      <c r="AC10" s="146">
        <f t="shared" si="1"/>
        <v>4712264.3299999991</v>
      </c>
    </row>
    <row r="13" spans="1:29" ht="15.6" x14ac:dyDescent="0.3">
      <c r="A13" s="210" t="s">
        <v>64</v>
      </c>
      <c r="B13" s="210"/>
      <c r="C13" s="210"/>
      <c r="D13" s="210"/>
      <c r="E13" s="210"/>
      <c r="F13" s="210"/>
      <c r="G13" s="210"/>
      <c r="H13" s="210"/>
      <c r="I13" s="210"/>
      <c r="J13" s="210"/>
      <c r="K13" s="210"/>
      <c r="L13" s="210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</row>
    <row r="14" spans="1:29" ht="15.6" x14ac:dyDescent="0.25">
      <c r="A14" s="213" t="s">
        <v>0</v>
      </c>
      <c r="B14" s="213" t="s">
        <v>77</v>
      </c>
      <c r="C14" s="215" t="s">
        <v>2</v>
      </c>
      <c r="D14" s="211" t="s">
        <v>65</v>
      </c>
      <c r="E14" s="212"/>
      <c r="F14" s="211" t="s">
        <v>66</v>
      </c>
      <c r="G14" s="212"/>
      <c r="H14" s="211" t="s">
        <v>67</v>
      </c>
      <c r="I14" s="212"/>
      <c r="J14" s="211" t="s">
        <v>68</v>
      </c>
      <c r="K14" s="212"/>
      <c r="L14" s="211" t="s">
        <v>69</v>
      </c>
      <c r="M14" s="212"/>
      <c r="N14" s="211" t="s">
        <v>70</v>
      </c>
      <c r="O14" s="212"/>
      <c r="P14" s="211" t="s">
        <v>71</v>
      </c>
      <c r="Q14" s="212"/>
      <c r="R14" s="211" t="s">
        <v>72</v>
      </c>
      <c r="S14" s="212"/>
      <c r="T14" s="211" t="s">
        <v>73</v>
      </c>
      <c r="U14" s="212"/>
      <c r="V14" s="211" t="s">
        <v>74</v>
      </c>
      <c r="W14" s="212"/>
      <c r="X14" s="211" t="s">
        <v>75</v>
      </c>
      <c r="Y14" s="212"/>
      <c r="Z14" s="211" t="s">
        <v>76</v>
      </c>
      <c r="AA14" s="212"/>
      <c r="AB14" s="208" t="s">
        <v>24</v>
      </c>
      <c r="AC14" s="209"/>
    </row>
    <row r="15" spans="1:29" ht="15.6" x14ac:dyDescent="0.25">
      <c r="A15" s="214"/>
      <c r="B15" s="214"/>
      <c r="C15" s="216"/>
      <c r="D15" s="127" t="s">
        <v>3</v>
      </c>
      <c r="E15" s="127" t="s">
        <v>39</v>
      </c>
      <c r="F15" s="127" t="s">
        <v>3</v>
      </c>
      <c r="G15" s="127" t="s">
        <v>39</v>
      </c>
      <c r="H15" s="127" t="s">
        <v>3</v>
      </c>
      <c r="I15" s="127" t="s">
        <v>39</v>
      </c>
      <c r="J15" s="127" t="s">
        <v>3</v>
      </c>
      <c r="K15" s="127" t="s">
        <v>39</v>
      </c>
      <c r="L15" s="127" t="s">
        <v>3</v>
      </c>
      <c r="M15" s="127" t="s">
        <v>39</v>
      </c>
      <c r="N15" s="127" t="s">
        <v>3</v>
      </c>
      <c r="O15" s="127" t="s">
        <v>39</v>
      </c>
      <c r="P15" s="127" t="s">
        <v>3</v>
      </c>
      <c r="Q15" s="127" t="s">
        <v>39</v>
      </c>
      <c r="R15" s="127" t="s">
        <v>3</v>
      </c>
      <c r="S15" s="127" t="s">
        <v>39</v>
      </c>
      <c r="T15" s="127" t="s">
        <v>3</v>
      </c>
      <c r="U15" s="127" t="s">
        <v>39</v>
      </c>
      <c r="V15" s="127" t="s">
        <v>3</v>
      </c>
      <c r="W15" s="127" t="s">
        <v>39</v>
      </c>
      <c r="X15" s="127" t="s">
        <v>3</v>
      </c>
      <c r="Y15" s="127" t="s">
        <v>39</v>
      </c>
      <c r="Z15" s="127" t="s">
        <v>3</v>
      </c>
      <c r="AA15" s="127" t="s">
        <v>39</v>
      </c>
      <c r="AB15" s="127" t="s">
        <v>3</v>
      </c>
      <c r="AC15" s="127" t="s">
        <v>39</v>
      </c>
    </row>
    <row r="16" spans="1:29" ht="18" x14ac:dyDescent="0.35">
      <c r="A16" s="128">
        <v>1</v>
      </c>
      <c r="B16" s="129">
        <v>5701540304</v>
      </c>
      <c r="C16" s="130" t="s">
        <v>37</v>
      </c>
      <c r="D16" s="153">
        <v>75408</v>
      </c>
      <c r="E16" s="154">
        <v>335226.37</v>
      </c>
      <c r="F16" s="153">
        <v>71748</v>
      </c>
      <c r="G16" s="154">
        <v>319163.49</v>
      </c>
      <c r="H16" s="132">
        <v>54420</v>
      </c>
      <c r="I16" s="138">
        <v>244415.46</v>
      </c>
      <c r="J16" s="132">
        <v>66348</v>
      </c>
      <c r="K16" s="142">
        <v>303147.12</v>
      </c>
      <c r="L16" s="132">
        <v>78276</v>
      </c>
      <c r="M16" s="143">
        <v>368270.12</v>
      </c>
      <c r="N16" s="155">
        <v>95892</v>
      </c>
      <c r="O16" s="154">
        <v>447095.11</v>
      </c>
      <c r="P16" s="153">
        <v>91884</v>
      </c>
      <c r="Q16" s="154">
        <v>437544.89</v>
      </c>
      <c r="R16" s="153">
        <v>108840</v>
      </c>
      <c r="S16" s="154">
        <v>494541.52</v>
      </c>
      <c r="T16" s="155">
        <v>73092</v>
      </c>
      <c r="U16" s="156">
        <v>338620.9</v>
      </c>
      <c r="V16" s="156">
        <v>78624</v>
      </c>
      <c r="W16" s="156">
        <v>370694.28</v>
      </c>
      <c r="X16" s="153">
        <v>91992</v>
      </c>
      <c r="Y16" s="154">
        <v>428886.26</v>
      </c>
      <c r="Z16" s="47">
        <v>93672</v>
      </c>
      <c r="AA16" s="52">
        <v>433274.39</v>
      </c>
      <c r="AB16" s="132">
        <f>+D16+F16+H16+J16+L16+N16+P16+R16+T16+V16+X16+Z16</f>
        <v>980196</v>
      </c>
      <c r="AC16" s="132">
        <f>+E16+G16+I16+K16+M16+O16+Q16+S16+U16+W16+Y16+AA16</f>
        <v>4520879.9099999992</v>
      </c>
    </row>
    <row r="17" spans="1:29" ht="18" x14ac:dyDescent="0.35">
      <c r="A17" s="128">
        <v>2</v>
      </c>
      <c r="B17" s="133">
        <v>20964080</v>
      </c>
      <c r="C17" s="132" t="s">
        <v>37</v>
      </c>
      <c r="D17" s="153">
        <v>784</v>
      </c>
      <c r="E17" s="156">
        <v>7976.43</v>
      </c>
      <c r="F17" s="153">
        <v>748</v>
      </c>
      <c r="G17" s="156">
        <v>7688.01</v>
      </c>
      <c r="H17" s="140">
        <v>956</v>
      </c>
      <c r="I17" s="138">
        <v>8793.68</v>
      </c>
      <c r="J17" s="132">
        <v>1032</v>
      </c>
      <c r="K17" s="138">
        <v>9288.64</v>
      </c>
      <c r="L17" s="132">
        <v>1068</v>
      </c>
      <c r="M17" s="144">
        <v>5975.93</v>
      </c>
      <c r="N17" s="153">
        <v>1736</v>
      </c>
      <c r="O17" s="156">
        <v>14291.17</v>
      </c>
      <c r="P17" s="153">
        <v>776</v>
      </c>
      <c r="Q17" s="156">
        <v>5443</v>
      </c>
      <c r="R17" s="153">
        <v>764</v>
      </c>
      <c r="S17" s="156">
        <v>8542.2900000000009</v>
      </c>
      <c r="T17" s="153">
        <v>716</v>
      </c>
      <c r="U17" s="156">
        <v>5417.51</v>
      </c>
      <c r="V17" s="153">
        <v>764</v>
      </c>
      <c r="W17" s="156">
        <v>5617.89</v>
      </c>
      <c r="X17" s="155">
        <v>796</v>
      </c>
      <c r="Y17" s="153">
        <v>8069.33</v>
      </c>
      <c r="Z17" s="47">
        <v>936</v>
      </c>
      <c r="AA17" s="53">
        <v>8873.36</v>
      </c>
      <c r="AB17" s="132">
        <f t="shared" ref="AB17:AC20" si="2">+D17+F17+H17+J17+L17+N17+P17+R17+T17+V17+X17+Z17</f>
        <v>11076</v>
      </c>
      <c r="AC17" s="132">
        <f t="shared" si="2"/>
        <v>95977.239999999991</v>
      </c>
    </row>
    <row r="18" spans="1:29" ht="18" x14ac:dyDescent="0.35">
      <c r="A18" s="128">
        <v>3</v>
      </c>
      <c r="B18" s="133">
        <v>27685433</v>
      </c>
      <c r="C18" s="132" t="s">
        <v>37</v>
      </c>
      <c r="D18" s="157">
        <v>0</v>
      </c>
      <c r="E18" s="158">
        <v>0</v>
      </c>
      <c r="F18" s="159">
        <v>0</v>
      </c>
      <c r="G18" s="156">
        <v>0</v>
      </c>
      <c r="H18" s="131">
        <v>0</v>
      </c>
      <c r="I18" s="147">
        <v>0</v>
      </c>
      <c r="J18" s="148">
        <v>0</v>
      </c>
      <c r="K18" s="148">
        <v>0</v>
      </c>
      <c r="L18" s="132"/>
      <c r="M18" s="145"/>
      <c r="N18" s="153"/>
      <c r="O18" s="156"/>
      <c r="P18" s="153"/>
      <c r="Q18" s="156"/>
      <c r="R18" s="148"/>
      <c r="S18" s="148"/>
      <c r="T18" s="149"/>
      <c r="U18" s="147"/>
      <c r="V18" s="149"/>
      <c r="W18" s="147"/>
      <c r="X18" s="148"/>
      <c r="Y18" s="148"/>
      <c r="Z18" s="47"/>
      <c r="AA18" s="53"/>
      <c r="AB18" s="132">
        <f t="shared" si="2"/>
        <v>0</v>
      </c>
      <c r="AC18" s="132">
        <f>+E18+G18+I18+K18+M18+O18+Q18+S18+U19+W18+Y18+AA18</f>
        <v>0</v>
      </c>
    </row>
    <row r="19" spans="1:29" ht="18" x14ac:dyDescent="0.35">
      <c r="A19" s="128">
        <v>4</v>
      </c>
      <c r="B19" s="134">
        <v>6300579652</v>
      </c>
      <c r="C19" s="132" t="s">
        <v>50</v>
      </c>
      <c r="D19" s="158">
        <v>0</v>
      </c>
      <c r="E19" s="158">
        <v>0</v>
      </c>
      <c r="F19" s="160">
        <v>0</v>
      </c>
      <c r="G19" s="158">
        <v>0</v>
      </c>
      <c r="H19" s="145">
        <v>0</v>
      </c>
      <c r="I19" s="138">
        <v>0</v>
      </c>
      <c r="J19" s="145">
        <v>0</v>
      </c>
      <c r="K19" s="138">
        <v>0</v>
      </c>
      <c r="L19" s="147"/>
      <c r="M19" s="138"/>
      <c r="N19" s="160"/>
      <c r="O19" s="156"/>
      <c r="P19" s="158"/>
      <c r="Q19" s="156"/>
      <c r="R19" s="147"/>
      <c r="S19" s="147"/>
      <c r="T19" s="147"/>
      <c r="U19" s="147"/>
      <c r="V19" s="147"/>
      <c r="W19" s="147"/>
      <c r="X19" s="151"/>
      <c r="Y19" s="147"/>
      <c r="Z19" s="55"/>
      <c r="AA19" s="55"/>
      <c r="AB19" s="132">
        <f t="shared" si="2"/>
        <v>0</v>
      </c>
      <c r="AC19" s="132">
        <f>+E19+G19+I19+K19+M19+O19+Q19+S19+U19+W19+Y19+AA19</f>
        <v>0</v>
      </c>
    </row>
    <row r="20" spans="1:29" ht="18" x14ac:dyDescent="0.35">
      <c r="A20" s="128">
        <v>5</v>
      </c>
      <c r="B20" s="133">
        <v>6500729436</v>
      </c>
      <c r="C20" s="132" t="s">
        <v>37</v>
      </c>
      <c r="D20" s="161">
        <v>148.80000000000001</v>
      </c>
      <c r="E20" s="162">
        <v>989.01</v>
      </c>
      <c r="F20" s="163">
        <v>69.599999999999994</v>
      </c>
      <c r="G20" s="162">
        <v>640.42999999999995</v>
      </c>
      <c r="H20" s="132">
        <v>149.6</v>
      </c>
      <c r="I20" s="139">
        <v>992.53</v>
      </c>
      <c r="J20" s="164">
        <v>127.2</v>
      </c>
      <c r="K20" s="164">
        <v>920.13</v>
      </c>
      <c r="L20" s="132">
        <v>165.6</v>
      </c>
      <c r="M20" s="132">
        <v>1097.06</v>
      </c>
      <c r="N20" s="153">
        <v>172.8</v>
      </c>
      <c r="O20" s="153">
        <v>1130.23</v>
      </c>
      <c r="P20" s="153">
        <v>164.8</v>
      </c>
      <c r="Q20" s="153">
        <v>1093.3699999999999</v>
      </c>
      <c r="R20" s="153">
        <v>164.8</v>
      </c>
      <c r="S20" s="153">
        <v>1093.3699999999999</v>
      </c>
      <c r="T20" s="161">
        <v>274.39999999999998</v>
      </c>
      <c r="U20" s="162">
        <v>1598.31</v>
      </c>
      <c r="V20" s="161">
        <v>293.60000000000002</v>
      </c>
      <c r="W20" s="161">
        <v>1686.77</v>
      </c>
      <c r="X20" s="153">
        <v>320.8</v>
      </c>
      <c r="Y20" s="153">
        <v>1812.09</v>
      </c>
      <c r="Z20" s="48">
        <v>293.60000000000002</v>
      </c>
      <c r="AA20" s="48">
        <v>1686.77</v>
      </c>
      <c r="AB20" s="132">
        <f>+D20+F20+H20+J20+L20+N20+P20+R20+T20+V20+X20+Z20</f>
        <v>2345.6</v>
      </c>
      <c r="AC20" s="132">
        <f t="shared" si="2"/>
        <v>14740.07</v>
      </c>
    </row>
    <row r="21" spans="1:29" s="141" customFormat="1" ht="15.6" x14ac:dyDescent="0.3">
      <c r="A21" s="135"/>
      <c r="B21" s="136" t="s">
        <v>24</v>
      </c>
      <c r="C21" s="137"/>
      <c r="D21" s="146">
        <f>SUM(D16:D20)</f>
        <v>76340.800000000003</v>
      </c>
      <c r="E21" s="146">
        <f t="shared" ref="E21:AC21" si="3">SUM(E16:E20)</f>
        <v>344191.81</v>
      </c>
      <c r="F21" s="146">
        <f t="shared" si="3"/>
        <v>72565.600000000006</v>
      </c>
      <c r="G21" s="146">
        <f t="shared" si="3"/>
        <v>327491.93</v>
      </c>
      <c r="H21" s="146">
        <f t="shared" si="3"/>
        <v>55525.599999999999</v>
      </c>
      <c r="I21" s="146">
        <f t="shared" si="3"/>
        <v>254201.66999999998</v>
      </c>
      <c r="J21" s="146">
        <f t="shared" si="3"/>
        <v>67507.199999999997</v>
      </c>
      <c r="K21" s="146">
        <f t="shared" si="3"/>
        <v>313355.89</v>
      </c>
      <c r="L21" s="146">
        <f t="shared" si="3"/>
        <v>79509.600000000006</v>
      </c>
      <c r="M21" s="146">
        <f t="shared" si="3"/>
        <v>375343.11</v>
      </c>
      <c r="N21" s="146">
        <f t="shared" si="3"/>
        <v>97800.8</v>
      </c>
      <c r="O21" s="146">
        <f t="shared" si="3"/>
        <v>462516.50999999995</v>
      </c>
      <c r="P21" s="146">
        <f t="shared" si="3"/>
        <v>92824.8</v>
      </c>
      <c r="Q21" s="146">
        <f t="shared" si="3"/>
        <v>444081.26</v>
      </c>
      <c r="R21" s="146">
        <f t="shared" si="3"/>
        <v>109768.8</v>
      </c>
      <c r="S21" s="146">
        <f t="shared" si="3"/>
        <v>504177.18</v>
      </c>
      <c r="T21" s="146">
        <f t="shared" si="3"/>
        <v>74082.399999999994</v>
      </c>
      <c r="U21" s="146">
        <f t="shared" si="3"/>
        <v>345636.72000000003</v>
      </c>
      <c r="V21" s="146">
        <f t="shared" si="3"/>
        <v>79681.600000000006</v>
      </c>
      <c r="W21" s="146">
        <f t="shared" si="3"/>
        <v>377998.94000000006</v>
      </c>
      <c r="X21" s="146">
        <f t="shared" si="3"/>
        <v>93108.800000000003</v>
      </c>
      <c r="Y21" s="146">
        <f t="shared" si="3"/>
        <v>438767.68000000005</v>
      </c>
      <c r="Z21" s="146">
        <f t="shared" si="3"/>
        <v>94901.6</v>
      </c>
      <c r="AA21" s="146">
        <f t="shared" si="3"/>
        <v>443834.52</v>
      </c>
      <c r="AB21" s="146">
        <f t="shared" si="3"/>
        <v>993617.6</v>
      </c>
      <c r="AC21" s="146">
        <f t="shared" si="3"/>
        <v>4631597.22</v>
      </c>
    </row>
    <row r="22" spans="1:29" ht="14.4" customHeight="1" x14ac:dyDescent="0.3">
      <c r="J22" s="165"/>
      <c r="AB22" s="166"/>
      <c r="AC22" s="166"/>
    </row>
    <row r="23" spans="1:29" ht="14.4" customHeight="1" x14ac:dyDescent="0.3">
      <c r="J23" s="165"/>
      <c r="AB23" s="166"/>
      <c r="AC23" s="166"/>
    </row>
    <row r="24" spans="1:29" ht="14.4" customHeight="1" x14ac:dyDescent="0.3">
      <c r="A24" s="210" t="s">
        <v>97</v>
      </c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</row>
    <row r="25" spans="1:29" ht="14.4" customHeight="1" x14ac:dyDescent="0.25">
      <c r="A25" s="213" t="s">
        <v>0</v>
      </c>
      <c r="B25" s="213" t="s">
        <v>77</v>
      </c>
      <c r="C25" s="215" t="s">
        <v>2</v>
      </c>
      <c r="D25" s="211" t="s">
        <v>98</v>
      </c>
      <c r="E25" s="212"/>
      <c r="F25" s="211" t="s">
        <v>99</v>
      </c>
      <c r="G25" s="212"/>
      <c r="H25" s="211" t="s">
        <v>100</v>
      </c>
      <c r="I25" s="212"/>
      <c r="J25" s="211" t="s">
        <v>101</v>
      </c>
      <c r="K25" s="212"/>
      <c r="L25" s="211" t="s">
        <v>102</v>
      </c>
      <c r="M25" s="212"/>
      <c r="N25" s="211" t="s">
        <v>103</v>
      </c>
      <c r="O25" s="212"/>
      <c r="P25" s="211" t="s">
        <v>104</v>
      </c>
      <c r="Q25" s="212"/>
      <c r="R25" s="211" t="s">
        <v>105</v>
      </c>
      <c r="S25" s="212"/>
      <c r="T25" s="211" t="s">
        <v>106</v>
      </c>
      <c r="U25" s="212"/>
      <c r="V25" s="211" t="s">
        <v>107</v>
      </c>
      <c r="W25" s="212"/>
      <c r="X25" s="211" t="s">
        <v>108</v>
      </c>
      <c r="Y25" s="212"/>
      <c r="Z25" s="211" t="s">
        <v>109</v>
      </c>
      <c r="AA25" s="212"/>
      <c r="AB25" s="208" t="s">
        <v>24</v>
      </c>
      <c r="AC25" s="209"/>
    </row>
    <row r="26" spans="1:29" ht="14.4" customHeight="1" x14ac:dyDescent="0.25">
      <c r="A26" s="214"/>
      <c r="B26" s="214"/>
      <c r="C26" s="216"/>
      <c r="D26" s="127" t="s">
        <v>3</v>
      </c>
      <c r="E26" s="127" t="s">
        <v>39</v>
      </c>
      <c r="F26" s="127" t="s">
        <v>3</v>
      </c>
      <c r="G26" s="127" t="s">
        <v>39</v>
      </c>
      <c r="H26" s="127" t="s">
        <v>3</v>
      </c>
      <c r="I26" s="127" t="s">
        <v>39</v>
      </c>
      <c r="J26" s="127" t="s">
        <v>3</v>
      </c>
      <c r="K26" s="127" t="s">
        <v>39</v>
      </c>
      <c r="L26" s="127" t="s">
        <v>3</v>
      </c>
      <c r="M26" s="127" t="s">
        <v>39</v>
      </c>
      <c r="N26" s="127" t="s">
        <v>3</v>
      </c>
      <c r="O26" s="127" t="s">
        <v>39</v>
      </c>
      <c r="P26" s="127" t="s">
        <v>3</v>
      </c>
      <c r="Q26" s="127" t="s">
        <v>39</v>
      </c>
      <c r="R26" s="127" t="s">
        <v>3</v>
      </c>
      <c r="S26" s="127" t="s">
        <v>39</v>
      </c>
      <c r="T26" s="127" t="s">
        <v>3</v>
      </c>
      <c r="U26" s="127" t="s">
        <v>39</v>
      </c>
      <c r="V26" s="127" t="s">
        <v>3</v>
      </c>
      <c r="W26" s="127" t="s">
        <v>39</v>
      </c>
      <c r="X26" s="127" t="s">
        <v>3</v>
      </c>
      <c r="Y26" s="127" t="s">
        <v>39</v>
      </c>
      <c r="Z26" s="127" t="s">
        <v>3</v>
      </c>
      <c r="AA26" s="127" t="s">
        <v>39</v>
      </c>
      <c r="AB26" s="127" t="s">
        <v>3</v>
      </c>
      <c r="AC26" s="127" t="s">
        <v>39</v>
      </c>
    </row>
    <row r="27" spans="1:29" ht="14.4" customHeight="1" x14ac:dyDescent="0.35">
      <c r="A27" s="128">
        <v>1</v>
      </c>
      <c r="B27" s="129">
        <v>5701540304</v>
      </c>
      <c r="C27" s="130" t="s">
        <v>37</v>
      </c>
      <c r="D27" s="47">
        <v>101160</v>
      </c>
      <c r="E27" s="52">
        <v>469636.76</v>
      </c>
      <c r="F27" s="47">
        <v>83052</v>
      </c>
      <c r="G27" s="52">
        <v>389764.48</v>
      </c>
      <c r="H27" s="47">
        <v>62232</v>
      </c>
      <c r="I27" s="53">
        <v>289513.55</v>
      </c>
      <c r="J27" s="47">
        <v>62412</v>
      </c>
      <c r="K27" s="52">
        <v>279856.95</v>
      </c>
      <c r="L27" s="47">
        <v>82728</v>
      </c>
      <c r="M27" s="178">
        <v>387259.62</v>
      </c>
      <c r="N27" s="106">
        <v>104256</v>
      </c>
      <c r="O27" s="52">
        <v>491419.04</v>
      </c>
      <c r="P27" s="179">
        <v>88320</v>
      </c>
      <c r="Q27" s="180">
        <v>416104.75</v>
      </c>
      <c r="R27" s="179">
        <v>97032</v>
      </c>
      <c r="S27" s="180">
        <v>422601.4</v>
      </c>
      <c r="T27" s="188">
        <v>64236</v>
      </c>
      <c r="U27" s="181">
        <v>285005.05</v>
      </c>
      <c r="V27" s="181">
        <v>76644</v>
      </c>
      <c r="W27" s="181">
        <v>338978.77</v>
      </c>
      <c r="X27" s="179">
        <v>96504</v>
      </c>
      <c r="Y27" s="180">
        <v>426933.25</v>
      </c>
      <c r="Z27" s="179">
        <v>93216</v>
      </c>
      <c r="AA27" s="180">
        <v>407190.68</v>
      </c>
      <c r="AB27" s="132">
        <f>+D27+F27+H27+J27+L27+N27+P27+R27+T27+V27+X27+Z27</f>
        <v>1011792</v>
      </c>
      <c r="AC27" s="132">
        <f>+E27+G27+I27+K27+M27+O27+Q27+S27+U27+W27+Y27+AA27</f>
        <v>4604264.2999999989</v>
      </c>
    </row>
    <row r="28" spans="1:29" ht="14.4" customHeight="1" x14ac:dyDescent="0.35">
      <c r="A28" s="128">
        <v>2</v>
      </c>
      <c r="B28" s="133">
        <v>20964080</v>
      </c>
      <c r="C28" s="132" t="s">
        <v>37</v>
      </c>
      <c r="D28" s="47">
        <v>4996</v>
      </c>
      <c r="E28" s="53">
        <v>30887.45</v>
      </c>
      <c r="F28" s="47">
        <v>2488</v>
      </c>
      <c r="G28" s="52">
        <v>17535.73</v>
      </c>
      <c r="H28" s="106">
        <v>1804</v>
      </c>
      <c r="I28" s="53">
        <v>14140.31</v>
      </c>
      <c r="J28" s="47">
        <v>1804</v>
      </c>
      <c r="K28" s="53">
        <v>14418.21</v>
      </c>
      <c r="L28" s="47">
        <v>1820</v>
      </c>
      <c r="M28" s="174">
        <v>13901.28</v>
      </c>
      <c r="N28" s="47">
        <v>2032</v>
      </c>
      <c r="O28" s="53">
        <v>14864.08</v>
      </c>
      <c r="P28" s="179">
        <v>1908</v>
      </c>
      <c r="Q28" s="181">
        <v>12507.27</v>
      </c>
      <c r="R28" s="179">
        <v>1940</v>
      </c>
      <c r="S28" s="181">
        <v>9778.8700000000008</v>
      </c>
      <c r="T28" s="179">
        <v>1832</v>
      </c>
      <c r="U28" s="181">
        <v>8666.17</v>
      </c>
      <c r="V28" s="179">
        <v>1940</v>
      </c>
      <c r="W28" s="181">
        <v>8688.9599999999991</v>
      </c>
      <c r="X28" s="188">
        <v>2088</v>
      </c>
      <c r="Y28" s="179">
        <v>12962.23</v>
      </c>
      <c r="Z28" s="179">
        <v>2432</v>
      </c>
      <c r="AA28" s="181">
        <v>14551.89</v>
      </c>
      <c r="AB28" s="132">
        <f t="shared" ref="AB28:AB30" si="4">+D28+F28+H28+J28+L28+N28+P28+R28+T28+V28+X28+Z28</f>
        <v>27084</v>
      </c>
      <c r="AC28" s="132">
        <f t="shared" ref="AC28" si="5">+E28+G28+I28+K28+M28+O28+Q28+S28+U28+W28+Y28+AA28</f>
        <v>172902.45</v>
      </c>
    </row>
    <row r="29" spans="1:29" ht="14.4" customHeight="1" x14ac:dyDescent="0.35">
      <c r="A29" s="128">
        <v>3</v>
      </c>
      <c r="B29" s="133">
        <v>27685433</v>
      </c>
      <c r="C29" s="132" t="s">
        <v>37</v>
      </c>
      <c r="D29" s="54"/>
      <c r="E29" s="55"/>
      <c r="F29" s="56"/>
      <c r="G29" s="53"/>
      <c r="H29" s="56"/>
      <c r="I29" s="55"/>
      <c r="J29" s="47"/>
      <c r="K29" s="53"/>
      <c r="L29" s="47"/>
      <c r="M29" s="112"/>
      <c r="N29" s="47"/>
      <c r="O29" s="53"/>
      <c r="P29" s="179"/>
      <c r="Q29" s="181"/>
      <c r="R29" s="179"/>
      <c r="S29" s="181"/>
      <c r="T29" s="189"/>
      <c r="U29" s="183"/>
      <c r="V29" s="189"/>
      <c r="W29" s="183"/>
      <c r="X29" s="179"/>
      <c r="Y29" s="181"/>
      <c r="Z29" s="47"/>
      <c r="AA29" s="53"/>
      <c r="AB29" s="132">
        <f t="shared" ref="AB29" si="6">+D29+F29+H29+J29+L29+N29+P29+R29+T29+V29+X29+Z29</f>
        <v>0</v>
      </c>
      <c r="AC29" s="132">
        <f t="shared" ref="AC29" si="7">+E29+G29+I29+K29+M29+O29+Q29+S29+U29+W29+Y29+AA29</f>
        <v>0</v>
      </c>
    </row>
    <row r="30" spans="1:29" ht="14.4" customHeight="1" x14ac:dyDescent="0.35">
      <c r="A30" s="128">
        <v>4</v>
      </c>
      <c r="B30" s="134">
        <v>6300579652</v>
      </c>
      <c r="C30" s="132" t="s">
        <v>50</v>
      </c>
      <c r="D30" s="55"/>
      <c r="E30" s="55"/>
      <c r="F30" s="57"/>
      <c r="G30" s="55"/>
      <c r="H30" s="112"/>
      <c r="I30" s="53"/>
      <c r="J30" s="112"/>
      <c r="K30" s="53"/>
      <c r="L30" s="55"/>
      <c r="M30" s="53"/>
      <c r="N30" s="57"/>
      <c r="O30" s="53"/>
      <c r="P30" s="183"/>
      <c r="Q30" s="181"/>
      <c r="R30" s="147"/>
      <c r="S30" s="147"/>
      <c r="T30" s="183"/>
      <c r="U30" s="183"/>
      <c r="V30" s="181"/>
      <c r="W30" s="181"/>
      <c r="X30" s="191"/>
      <c r="Y30" s="183"/>
      <c r="Z30" s="55"/>
      <c r="AA30" s="55"/>
      <c r="AB30" s="132">
        <f t="shared" si="4"/>
        <v>0</v>
      </c>
      <c r="AC30" s="132">
        <f>+E30+G30+I30+K30+M30+O30+Q30+S30+U30+W30+Y30+AA30</f>
        <v>0</v>
      </c>
    </row>
    <row r="31" spans="1:29" ht="14.4" customHeight="1" x14ac:dyDescent="0.35">
      <c r="A31" s="128">
        <v>5</v>
      </c>
      <c r="B31" s="133">
        <v>6500729436</v>
      </c>
      <c r="C31" s="132" t="s">
        <v>37</v>
      </c>
      <c r="D31" s="48">
        <v>315.2</v>
      </c>
      <c r="E31" s="58">
        <v>1786.29</v>
      </c>
      <c r="F31" s="47">
        <v>313.60000000000002</v>
      </c>
      <c r="G31" s="52">
        <v>1778.91</v>
      </c>
      <c r="H31" s="47">
        <v>302.39999999999998</v>
      </c>
      <c r="I31" s="48">
        <v>1727.31</v>
      </c>
      <c r="J31" s="47">
        <v>309.60000000000002</v>
      </c>
      <c r="K31" s="47">
        <v>1750.55</v>
      </c>
      <c r="L31" s="47">
        <v>272</v>
      </c>
      <c r="M31" s="47">
        <v>1578.52</v>
      </c>
      <c r="N31" s="47">
        <v>156</v>
      </c>
      <c r="O31" s="47">
        <v>1047.81</v>
      </c>
      <c r="P31" s="179">
        <v>254.06</v>
      </c>
      <c r="Q31" s="179">
        <v>1496.45</v>
      </c>
      <c r="R31" s="179">
        <v>0</v>
      </c>
      <c r="S31" s="179">
        <v>0</v>
      </c>
      <c r="T31" s="179">
        <v>0</v>
      </c>
      <c r="U31" s="179">
        <v>0</v>
      </c>
      <c r="V31" s="190"/>
      <c r="W31" s="190"/>
      <c r="X31" s="179"/>
      <c r="Y31" s="179"/>
      <c r="Z31" s="48"/>
      <c r="AA31" s="48"/>
      <c r="AB31" s="132">
        <f>+D31+F31+H31+J31+L31+N31+P31+R31+T31+V31+X31+Z31</f>
        <v>1922.86</v>
      </c>
      <c r="AC31" s="132">
        <f>+E31+G31+I31+K31+M31+O31+Q31+S31+U31+W31+Y31+AA31</f>
        <v>11165.84</v>
      </c>
    </row>
    <row r="32" spans="1:29" ht="14.4" customHeight="1" x14ac:dyDescent="0.35">
      <c r="A32" s="128">
        <v>6</v>
      </c>
      <c r="B32" s="187">
        <v>6300579648</v>
      </c>
      <c r="C32" s="179" t="s">
        <v>37</v>
      </c>
      <c r="D32" s="48"/>
      <c r="E32" s="58"/>
      <c r="F32" s="47"/>
      <c r="G32" s="52"/>
      <c r="H32" s="47"/>
      <c r="I32" s="48"/>
      <c r="J32" s="47"/>
      <c r="K32" s="47"/>
      <c r="L32" s="47"/>
      <c r="M32" s="47"/>
      <c r="N32" s="47"/>
      <c r="O32" s="47"/>
      <c r="P32" s="179"/>
      <c r="Q32" s="179"/>
      <c r="R32" s="185">
        <v>355.95</v>
      </c>
      <c r="S32" s="185">
        <v>1897.86</v>
      </c>
      <c r="T32" s="181">
        <v>231</v>
      </c>
      <c r="U32" s="183">
        <v>1348.93</v>
      </c>
      <c r="V32" s="181">
        <v>217</v>
      </c>
      <c r="W32" s="181">
        <v>1287.42</v>
      </c>
      <c r="X32" s="185">
        <v>267</v>
      </c>
      <c r="Y32" s="185">
        <v>1507.08</v>
      </c>
      <c r="Z32" s="48"/>
      <c r="AA32" s="48"/>
      <c r="AB32" s="132">
        <f>+D32+F32+H32+J32+L32+N32+P32+R32+T32+V32+X32+Z32</f>
        <v>1070.95</v>
      </c>
      <c r="AC32" s="132">
        <f>+E32+G32+I32+K32+M32+O32+Q32+S32+U32+W32+Y32+AA32</f>
        <v>6041.29</v>
      </c>
    </row>
    <row r="33" spans="1:29" ht="14.4" customHeight="1" x14ac:dyDescent="0.35">
      <c r="A33" s="192">
        <v>7</v>
      </c>
      <c r="B33" s="187">
        <v>6800001953</v>
      </c>
      <c r="C33" s="179" t="s">
        <v>37</v>
      </c>
      <c r="D33" s="48"/>
      <c r="E33" s="58"/>
      <c r="F33" s="47"/>
      <c r="G33" s="52"/>
      <c r="H33" s="47"/>
      <c r="I33" s="48"/>
      <c r="J33" s="47"/>
      <c r="K33" s="47"/>
      <c r="L33" s="47"/>
      <c r="M33" s="47"/>
      <c r="N33" s="47"/>
      <c r="O33" s="47"/>
      <c r="P33" s="179"/>
      <c r="Q33" s="179"/>
      <c r="R33" s="185"/>
      <c r="S33" s="185"/>
      <c r="T33" s="181"/>
      <c r="U33" s="183"/>
      <c r="V33" s="181"/>
      <c r="W33" s="181"/>
      <c r="X33" s="185"/>
      <c r="Y33" s="185"/>
      <c r="Z33" s="181">
        <v>175</v>
      </c>
      <c r="AA33" s="181">
        <v>1095.42</v>
      </c>
      <c r="AB33" s="132">
        <f>+D33+F33+H33+J33+L33+N33+P33+R33+T33+V33+X33+Z33</f>
        <v>175</v>
      </c>
      <c r="AC33" s="132">
        <f>+E33+G33+I33+K33+M33+O33+Q33+S33+U33+W33+Y33+AA33</f>
        <v>1095.42</v>
      </c>
    </row>
    <row r="34" spans="1:29" ht="14.4" customHeight="1" x14ac:dyDescent="0.3">
      <c r="A34" s="135"/>
      <c r="B34" s="136" t="s">
        <v>24</v>
      </c>
      <c r="C34" s="137"/>
      <c r="D34" s="146">
        <f>SUM(D27:D32)</f>
        <v>106471.2</v>
      </c>
      <c r="E34" s="146">
        <f t="shared" ref="E34:Y34" si="8">SUM(E27:E32)</f>
        <v>502310.5</v>
      </c>
      <c r="F34" s="146">
        <f t="shared" si="8"/>
        <v>85853.6</v>
      </c>
      <c r="G34" s="146">
        <f t="shared" si="8"/>
        <v>409079.11999999994</v>
      </c>
      <c r="H34" s="146">
        <f t="shared" si="8"/>
        <v>64338.400000000001</v>
      </c>
      <c r="I34" s="146">
        <f t="shared" si="8"/>
        <v>305381.17</v>
      </c>
      <c r="J34" s="146">
        <f t="shared" si="8"/>
        <v>64525.599999999999</v>
      </c>
      <c r="K34" s="146">
        <f t="shared" si="8"/>
        <v>296025.71000000002</v>
      </c>
      <c r="L34" s="146">
        <f t="shared" si="8"/>
        <v>84820</v>
      </c>
      <c r="M34" s="146">
        <f t="shared" si="8"/>
        <v>402739.42000000004</v>
      </c>
      <c r="N34" s="146">
        <f t="shared" si="8"/>
        <v>106444</v>
      </c>
      <c r="O34" s="146">
        <f t="shared" si="8"/>
        <v>507330.93</v>
      </c>
      <c r="P34" s="146">
        <f t="shared" si="8"/>
        <v>90482.06</v>
      </c>
      <c r="Q34" s="146">
        <f t="shared" si="8"/>
        <v>430108.47000000003</v>
      </c>
      <c r="R34" s="146">
        <f t="shared" si="8"/>
        <v>99327.95</v>
      </c>
      <c r="S34" s="146">
        <f t="shared" si="8"/>
        <v>434278.13</v>
      </c>
      <c r="T34" s="146">
        <f t="shared" si="8"/>
        <v>66299</v>
      </c>
      <c r="U34" s="146">
        <f t="shared" si="8"/>
        <v>295020.14999999997</v>
      </c>
      <c r="V34" s="146">
        <f t="shared" si="8"/>
        <v>78801</v>
      </c>
      <c r="W34" s="146">
        <f t="shared" si="8"/>
        <v>348955.15</v>
      </c>
      <c r="X34" s="146">
        <f t="shared" si="8"/>
        <v>98859</v>
      </c>
      <c r="Y34" s="146">
        <f t="shared" si="8"/>
        <v>441402.56</v>
      </c>
      <c r="Z34" s="146">
        <f>SUM(Z27:Z33)</f>
        <v>95823</v>
      </c>
      <c r="AA34" s="146">
        <f t="shared" ref="AA34:AC34" si="9">SUM(AA27:AA33)</f>
        <v>422837.99</v>
      </c>
      <c r="AB34" s="146">
        <f t="shared" si="9"/>
        <v>1042044.8099999999</v>
      </c>
      <c r="AC34" s="146">
        <f t="shared" si="9"/>
        <v>4795469.2999999989</v>
      </c>
    </row>
    <row r="35" spans="1:29" ht="14.4" customHeight="1" x14ac:dyDescent="0.3">
      <c r="J35" s="165"/>
      <c r="AB35" s="166"/>
      <c r="AC35" s="166"/>
    </row>
    <row r="36" spans="1:29" ht="14.4" customHeight="1" x14ac:dyDescent="0.3">
      <c r="J36" s="165"/>
      <c r="AB36" s="166"/>
      <c r="AC36" s="166"/>
    </row>
    <row r="37" spans="1:29" ht="14.4" customHeight="1" x14ac:dyDescent="0.3">
      <c r="A37" s="210" t="s">
        <v>113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</row>
    <row r="38" spans="1:29" ht="14.4" customHeight="1" x14ac:dyDescent="0.25">
      <c r="A38" s="213" t="s">
        <v>0</v>
      </c>
      <c r="B38" s="213" t="s">
        <v>77</v>
      </c>
      <c r="C38" s="215" t="s">
        <v>2</v>
      </c>
      <c r="D38" s="211" t="s">
        <v>114</v>
      </c>
      <c r="E38" s="212"/>
      <c r="F38" s="211" t="s">
        <v>115</v>
      </c>
      <c r="G38" s="212"/>
      <c r="H38" s="211" t="s">
        <v>116</v>
      </c>
      <c r="I38" s="212"/>
      <c r="J38" s="211" t="s">
        <v>117</v>
      </c>
      <c r="K38" s="212"/>
      <c r="L38" s="211" t="s">
        <v>118</v>
      </c>
      <c r="M38" s="212"/>
      <c r="N38" s="211" t="s">
        <v>119</v>
      </c>
      <c r="O38" s="212"/>
      <c r="P38" s="211" t="s">
        <v>120</v>
      </c>
      <c r="Q38" s="212"/>
      <c r="R38" s="211" t="s">
        <v>121</v>
      </c>
      <c r="S38" s="212"/>
      <c r="T38" s="211" t="s">
        <v>122</v>
      </c>
      <c r="U38" s="212"/>
      <c r="V38" s="211" t="s">
        <v>123</v>
      </c>
      <c r="W38" s="212"/>
      <c r="X38" s="211" t="s">
        <v>124</v>
      </c>
      <c r="Y38" s="212"/>
      <c r="Z38" s="211" t="s">
        <v>125</v>
      </c>
      <c r="AA38" s="212"/>
      <c r="AB38" s="208" t="s">
        <v>24</v>
      </c>
      <c r="AC38" s="209"/>
    </row>
    <row r="39" spans="1:29" ht="14.4" customHeight="1" x14ac:dyDescent="0.25">
      <c r="A39" s="214"/>
      <c r="B39" s="214"/>
      <c r="C39" s="216"/>
      <c r="D39" s="127" t="s">
        <v>3</v>
      </c>
      <c r="E39" s="127" t="s">
        <v>39</v>
      </c>
      <c r="F39" s="127" t="s">
        <v>3</v>
      </c>
      <c r="G39" s="127" t="s">
        <v>39</v>
      </c>
      <c r="H39" s="127" t="s">
        <v>3</v>
      </c>
      <c r="I39" s="127" t="s">
        <v>39</v>
      </c>
      <c r="J39" s="127" t="s">
        <v>3</v>
      </c>
      <c r="K39" s="127" t="s">
        <v>39</v>
      </c>
      <c r="L39" s="127" t="s">
        <v>3</v>
      </c>
      <c r="M39" s="127" t="s">
        <v>39</v>
      </c>
      <c r="N39" s="127" t="s">
        <v>3</v>
      </c>
      <c r="O39" s="127" t="s">
        <v>39</v>
      </c>
      <c r="P39" s="127" t="s">
        <v>3</v>
      </c>
      <c r="Q39" s="127" t="s">
        <v>39</v>
      </c>
      <c r="R39" s="127" t="s">
        <v>3</v>
      </c>
      <c r="S39" s="127" t="s">
        <v>39</v>
      </c>
      <c r="T39" s="127" t="s">
        <v>3</v>
      </c>
      <c r="U39" s="127" t="s">
        <v>39</v>
      </c>
      <c r="V39" s="127" t="s">
        <v>3</v>
      </c>
      <c r="W39" s="127" t="s">
        <v>39</v>
      </c>
      <c r="X39" s="127" t="s">
        <v>3</v>
      </c>
      <c r="Y39" s="127" t="s">
        <v>39</v>
      </c>
      <c r="Z39" s="127" t="s">
        <v>3</v>
      </c>
      <c r="AA39" s="127" t="s">
        <v>39</v>
      </c>
      <c r="AB39" s="127" t="s">
        <v>3</v>
      </c>
      <c r="AC39" s="127" t="s">
        <v>39</v>
      </c>
    </row>
    <row r="40" spans="1:29" ht="14.4" customHeight="1" x14ac:dyDescent="0.35">
      <c r="A40" s="128">
        <v>1</v>
      </c>
      <c r="B40" s="129">
        <v>5701540304</v>
      </c>
      <c r="C40" s="130" t="s">
        <v>37</v>
      </c>
      <c r="D40" s="47">
        <v>90732</v>
      </c>
      <c r="E40" s="52">
        <v>386221.05</v>
      </c>
      <c r="F40" s="47">
        <v>86304</v>
      </c>
      <c r="G40" s="52">
        <v>395120.09</v>
      </c>
      <c r="H40" s="47">
        <v>66168</v>
      </c>
      <c r="I40" s="53">
        <v>295091.58</v>
      </c>
      <c r="J40" s="47">
        <v>69768</v>
      </c>
      <c r="K40" s="52">
        <v>304949.49</v>
      </c>
      <c r="L40" s="47"/>
      <c r="M40" s="178"/>
      <c r="N40" s="106"/>
      <c r="O40" s="52"/>
      <c r="P40" s="179"/>
      <c r="Q40" s="180"/>
      <c r="R40" s="179"/>
      <c r="S40" s="180"/>
      <c r="T40" s="188"/>
      <c r="U40" s="181"/>
      <c r="V40" s="181"/>
      <c r="W40" s="181"/>
      <c r="X40" s="179"/>
      <c r="Y40" s="180"/>
      <c r="Z40" s="179"/>
      <c r="AA40" s="180"/>
      <c r="AB40" s="132">
        <f>+D40+F40+H40+J40+L40+N40+P40+R40+T40+V40+X40+Z40</f>
        <v>312972</v>
      </c>
      <c r="AC40" s="132">
        <f>+E40+G40+I40+K40+M40+O40+Q40+S40+U40+W40+Y40+AA40</f>
        <v>1381382.21</v>
      </c>
    </row>
    <row r="41" spans="1:29" ht="14.4" customHeight="1" x14ac:dyDescent="0.35">
      <c r="A41" s="128">
        <v>2</v>
      </c>
      <c r="B41" s="133">
        <v>20964080</v>
      </c>
      <c r="C41" s="132" t="s">
        <v>37</v>
      </c>
      <c r="D41" s="47">
        <v>2632</v>
      </c>
      <c r="E41" s="53">
        <v>15284.75</v>
      </c>
      <c r="F41" s="47">
        <v>2548</v>
      </c>
      <c r="G41" s="52">
        <v>17045.41</v>
      </c>
      <c r="H41" s="106">
        <v>2028</v>
      </c>
      <c r="I41" s="53">
        <v>12541.25</v>
      </c>
      <c r="J41" s="47">
        <v>2068</v>
      </c>
      <c r="K41" s="53">
        <v>14677.48</v>
      </c>
      <c r="L41" s="47"/>
      <c r="M41" s="174"/>
      <c r="N41" s="47"/>
      <c r="O41" s="53"/>
      <c r="P41" s="179"/>
      <c r="Q41" s="181"/>
      <c r="R41" s="179"/>
      <c r="S41" s="181"/>
      <c r="T41" s="179"/>
      <c r="U41" s="181"/>
      <c r="V41" s="179"/>
      <c r="W41" s="181"/>
      <c r="X41" s="188"/>
      <c r="Y41" s="179"/>
      <c r="Z41" s="179"/>
      <c r="AA41" s="181"/>
      <c r="AB41" s="132">
        <f t="shared" ref="AB41:AB43" si="10">+D41+F41+H41+J41+L41+N41+P41+R41+T41+V41+X41+Z41</f>
        <v>9276</v>
      </c>
      <c r="AC41" s="132">
        <f t="shared" ref="AC41:AC42" si="11">+E41+G41+I41+K41+M41+O41+Q41+S41+U41+W41+Y41+AA41</f>
        <v>59548.89</v>
      </c>
    </row>
    <row r="42" spans="1:29" ht="14.4" customHeight="1" x14ac:dyDescent="0.4">
      <c r="A42" s="128">
        <v>3</v>
      </c>
      <c r="B42" s="133">
        <v>27685433</v>
      </c>
      <c r="C42" s="132" t="s">
        <v>37</v>
      </c>
      <c r="D42" s="54"/>
      <c r="E42" s="55"/>
      <c r="F42" s="56"/>
      <c r="G42" s="53"/>
      <c r="H42" s="56"/>
      <c r="I42" s="55"/>
      <c r="J42" s="221"/>
      <c r="K42" s="221"/>
      <c r="L42" s="47"/>
      <c r="M42" s="112"/>
      <c r="N42" s="47"/>
      <c r="O42" s="53"/>
      <c r="P42" s="179"/>
      <c r="Q42" s="181"/>
      <c r="R42" s="179"/>
      <c r="S42" s="181"/>
      <c r="T42" s="189"/>
      <c r="U42" s="183"/>
      <c r="V42" s="189"/>
      <c r="W42" s="183"/>
      <c r="X42" s="179"/>
      <c r="Y42" s="181"/>
      <c r="Z42" s="47"/>
      <c r="AA42" s="53"/>
      <c r="AB42" s="132">
        <f t="shared" si="10"/>
        <v>0</v>
      </c>
      <c r="AC42" s="132">
        <f t="shared" si="11"/>
        <v>0</v>
      </c>
    </row>
    <row r="43" spans="1:29" ht="14.4" customHeight="1" x14ac:dyDescent="0.4">
      <c r="A43" s="128">
        <v>4</v>
      </c>
      <c r="B43" s="134">
        <v>6300579652</v>
      </c>
      <c r="C43" s="132" t="s">
        <v>50</v>
      </c>
      <c r="D43" s="55"/>
      <c r="E43" s="55"/>
      <c r="F43" s="57"/>
      <c r="G43" s="55"/>
      <c r="H43" s="112"/>
      <c r="I43" s="53"/>
      <c r="J43" s="221"/>
      <c r="K43" s="221"/>
      <c r="L43" s="55"/>
      <c r="M43" s="53"/>
      <c r="N43" s="57"/>
      <c r="O43" s="53"/>
      <c r="P43" s="183"/>
      <c r="Q43" s="181"/>
      <c r="R43" s="147"/>
      <c r="S43" s="147"/>
      <c r="T43" s="183"/>
      <c r="U43" s="183"/>
      <c r="V43" s="181"/>
      <c r="W43" s="181"/>
      <c r="X43" s="191"/>
      <c r="Y43" s="183"/>
      <c r="Z43" s="55"/>
      <c r="AA43" s="55"/>
      <c r="AB43" s="132">
        <f t="shared" si="10"/>
        <v>0</v>
      </c>
      <c r="AC43" s="132">
        <f>+E43+G43+I43+K43+M43+O43+Q43+S43+U43+W43+Y43+AA43</f>
        <v>0</v>
      </c>
    </row>
    <row r="44" spans="1:29" ht="14.4" customHeight="1" x14ac:dyDescent="0.35">
      <c r="A44" s="128">
        <v>5</v>
      </c>
      <c r="B44" s="133">
        <v>6500729436</v>
      </c>
      <c r="C44" s="132" t="s">
        <v>37</v>
      </c>
      <c r="D44" s="48"/>
      <c r="E44" s="58"/>
      <c r="F44" s="47"/>
      <c r="G44" s="52"/>
      <c r="H44" s="47"/>
      <c r="I44" s="48"/>
      <c r="J44" s="47"/>
      <c r="K44" s="47"/>
      <c r="L44" s="47"/>
      <c r="M44" s="47"/>
      <c r="N44" s="47"/>
      <c r="O44" s="47"/>
      <c r="P44" s="179"/>
      <c r="Q44" s="179"/>
      <c r="R44" s="179"/>
      <c r="S44" s="179"/>
      <c r="T44" s="179"/>
      <c r="U44" s="179"/>
      <c r="V44" s="190"/>
      <c r="W44" s="190"/>
      <c r="X44" s="179"/>
      <c r="Y44" s="179"/>
      <c r="Z44" s="48"/>
      <c r="AA44" s="48"/>
      <c r="AB44" s="132">
        <f>+D44+F44+H44+J44+L44+N44+P44+R44+T44+V44+X44+Z44</f>
        <v>0</v>
      </c>
      <c r="AC44" s="132">
        <f>+E44+G44+I44+K44+M44+O44+Q44+S44+U44+W44+Y44+AA44</f>
        <v>0</v>
      </c>
    </row>
    <row r="45" spans="1:29" ht="14.4" customHeight="1" x14ac:dyDescent="0.4">
      <c r="A45" s="128">
        <v>6</v>
      </c>
      <c r="B45" s="187">
        <v>6300579648</v>
      </c>
      <c r="C45" s="179" t="s">
        <v>37</v>
      </c>
      <c r="D45" s="48"/>
      <c r="E45" s="58"/>
      <c r="F45" s="112"/>
      <c r="G45" s="52"/>
      <c r="H45" s="112"/>
      <c r="I45" s="53"/>
      <c r="J45" s="221"/>
      <c r="K45" s="221"/>
      <c r="L45" s="47"/>
      <c r="M45" s="47"/>
      <c r="N45" s="47"/>
      <c r="O45" s="47"/>
      <c r="P45" s="179"/>
      <c r="Q45" s="179"/>
      <c r="R45" s="185"/>
      <c r="S45" s="185"/>
      <c r="T45" s="181"/>
      <c r="U45" s="183"/>
      <c r="V45" s="181"/>
      <c r="W45" s="181"/>
      <c r="X45" s="185"/>
      <c r="Y45" s="185"/>
      <c r="Z45" s="48"/>
      <c r="AA45" s="48"/>
      <c r="AB45" s="132">
        <f>+D45+F45+H45+J45+L45+N45+P45+R45+T45+V45+X45+Z45</f>
        <v>0</v>
      </c>
      <c r="AC45" s="132">
        <f>+E45+G45+I45+K45+M45+O45+Q45+S45+U45+W45+Y45+AA45</f>
        <v>0</v>
      </c>
    </row>
    <row r="46" spans="1:29" ht="14.4" customHeight="1" x14ac:dyDescent="0.35">
      <c r="A46" s="192">
        <v>7</v>
      </c>
      <c r="B46" s="187">
        <v>6800001953</v>
      </c>
      <c r="C46" s="179" t="s">
        <v>37</v>
      </c>
      <c r="D46" s="48">
        <v>174.5</v>
      </c>
      <c r="E46" s="58">
        <v>1093.24</v>
      </c>
      <c r="F46" s="112">
        <v>209.5</v>
      </c>
      <c r="G46" s="52">
        <v>1245.5</v>
      </c>
      <c r="H46" s="112">
        <v>289</v>
      </c>
      <c r="I46" s="53">
        <v>1591.37</v>
      </c>
      <c r="J46" s="112">
        <v>248.5</v>
      </c>
      <c r="K46" s="112">
        <v>1399.21</v>
      </c>
      <c r="L46" s="47"/>
      <c r="M46" s="47"/>
      <c r="N46" s="47"/>
      <c r="O46" s="47"/>
      <c r="P46" s="179"/>
      <c r="Q46" s="179"/>
      <c r="R46" s="185"/>
      <c r="S46" s="185"/>
      <c r="T46" s="181"/>
      <c r="U46" s="183"/>
      <c r="V46" s="181"/>
      <c r="W46" s="181"/>
      <c r="X46" s="185"/>
      <c r="Y46" s="185"/>
      <c r="Z46" s="181"/>
      <c r="AA46" s="181"/>
      <c r="AB46" s="132">
        <f>+D46+F46+H46+J46+L46+N46+P46+R46+T46+V46+X46+Z46</f>
        <v>921.5</v>
      </c>
      <c r="AC46" s="132">
        <f>+E46+G46+I46+K46+M46+O46+Q46+S46+U46+W46+Y46+AA46</f>
        <v>5329.32</v>
      </c>
    </row>
    <row r="47" spans="1:29" ht="15.6" x14ac:dyDescent="0.3">
      <c r="A47" s="135"/>
      <c r="B47" s="136" t="s">
        <v>24</v>
      </c>
      <c r="C47" s="137"/>
      <c r="D47" s="146">
        <f>SUM(D40:D46)</f>
        <v>93538.5</v>
      </c>
      <c r="E47" s="146">
        <f t="shared" ref="E47:AC47" si="12">SUM(E40:E46)</f>
        <v>402599.04</v>
      </c>
      <c r="F47" s="146">
        <f t="shared" si="12"/>
        <v>89061.5</v>
      </c>
      <c r="G47" s="146">
        <f t="shared" si="12"/>
        <v>413411</v>
      </c>
      <c r="H47" s="146">
        <f t="shared" si="12"/>
        <v>68485</v>
      </c>
      <c r="I47" s="146">
        <f t="shared" si="12"/>
        <v>309224.2</v>
      </c>
      <c r="J47" s="146">
        <f t="shared" si="12"/>
        <v>72084.5</v>
      </c>
      <c r="K47" s="146">
        <f t="shared" si="12"/>
        <v>321026.18</v>
      </c>
      <c r="L47" s="146">
        <f t="shared" si="12"/>
        <v>0</v>
      </c>
      <c r="M47" s="146">
        <f t="shared" si="12"/>
        <v>0</v>
      </c>
      <c r="N47" s="146">
        <f t="shared" si="12"/>
        <v>0</v>
      </c>
      <c r="O47" s="146">
        <f t="shared" si="12"/>
        <v>0</v>
      </c>
      <c r="P47" s="146">
        <f t="shared" si="12"/>
        <v>0</v>
      </c>
      <c r="Q47" s="146">
        <f t="shared" si="12"/>
        <v>0</v>
      </c>
      <c r="R47" s="146">
        <f t="shared" si="12"/>
        <v>0</v>
      </c>
      <c r="S47" s="146">
        <f t="shared" si="12"/>
        <v>0</v>
      </c>
      <c r="T47" s="146">
        <f t="shared" si="12"/>
        <v>0</v>
      </c>
      <c r="U47" s="146">
        <f t="shared" si="12"/>
        <v>0</v>
      </c>
      <c r="V47" s="146">
        <f t="shared" si="12"/>
        <v>0</v>
      </c>
      <c r="W47" s="146">
        <f t="shared" si="12"/>
        <v>0</v>
      </c>
      <c r="X47" s="146">
        <f t="shared" si="12"/>
        <v>0</v>
      </c>
      <c r="Y47" s="146">
        <f t="shared" si="12"/>
        <v>0</v>
      </c>
      <c r="Z47" s="146">
        <f t="shared" si="12"/>
        <v>0</v>
      </c>
      <c r="AA47" s="146">
        <f t="shared" si="12"/>
        <v>0</v>
      </c>
      <c r="AB47" s="146">
        <f>SUM(AB40:AB46)</f>
        <v>323169.5</v>
      </c>
      <c r="AC47" s="146">
        <f t="shared" si="12"/>
        <v>1446260.42</v>
      </c>
    </row>
    <row r="48" spans="1:29" ht="15.6" x14ac:dyDescent="0.3">
      <c r="AB48" s="166"/>
      <c r="AC48" s="166"/>
    </row>
  </sheetData>
  <mergeCells count="68">
    <mergeCell ref="AB38:AC38"/>
    <mergeCell ref="A37:AC37"/>
    <mergeCell ref="A38:A39"/>
    <mergeCell ref="B38:B39"/>
    <mergeCell ref="C38:C39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C3:C4"/>
    <mergeCell ref="D3:E3"/>
    <mergeCell ref="F3:G3"/>
    <mergeCell ref="H3:I3"/>
    <mergeCell ref="H14:I14"/>
    <mergeCell ref="A13:AC13"/>
    <mergeCell ref="A3:A4"/>
    <mergeCell ref="B3:B4"/>
    <mergeCell ref="AB3:AC3"/>
    <mergeCell ref="V14:W14"/>
    <mergeCell ref="X14:Y14"/>
    <mergeCell ref="Z14:AA14"/>
    <mergeCell ref="AB14:AC14"/>
    <mergeCell ref="J14:K14"/>
    <mergeCell ref="L14:M14"/>
    <mergeCell ref="V3:W3"/>
    <mergeCell ref="X3:Y3"/>
    <mergeCell ref="A14:A15"/>
    <mergeCell ref="B14:B15"/>
    <mergeCell ref="C14:C15"/>
    <mergeCell ref="D14:E14"/>
    <mergeCell ref="F14:G14"/>
    <mergeCell ref="R3:S3"/>
    <mergeCell ref="T3:U3"/>
    <mergeCell ref="V25:W25"/>
    <mergeCell ref="X25:Y25"/>
    <mergeCell ref="Z25:AA25"/>
    <mergeCell ref="N14:O14"/>
    <mergeCell ref="P14:Q14"/>
    <mergeCell ref="R14:S14"/>
    <mergeCell ref="N25:O25"/>
    <mergeCell ref="P25:Q25"/>
    <mergeCell ref="R25:S25"/>
    <mergeCell ref="T25:U25"/>
    <mergeCell ref="T14:U14"/>
    <mergeCell ref="AB25:AC25"/>
    <mergeCell ref="A1:AC1"/>
    <mergeCell ref="J3:K3"/>
    <mergeCell ref="L3:M3"/>
    <mergeCell ref="A24:AC24"/>
    <mergeCell ref="A25:A26"/>
    <mergeCell ref="B25:B26"/>
    <mergeCell ref="C25:C26"/>
    <mergeCell ref="D25:E25"/>
    <mergeCell ref="F25:G25"/>
    <mergeCell ref="H25:I25"/>
    <mergeCell ref="J25:K25"/>
    <mergeCell ref="L25:M25"/>
    <mergeCell ref="Z3:AA3"/>
    <mergeCell ref="N3:O3"/>
    <mergeCell ref="P3:Q3"/>
  </mergeCells>
  <pageMargins left="0.19685039370078741" right="0.19685039370078741" top="0.74803149606299213" bottom="0.74803149606299213" header="0.31496062992125984" footer="0.31496062992125984"/>
  <pageSetup paperSize="9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CBFB-AF09-4B5A-8E39-FAA606399986}">
  <dimension ref="A1:AA12"/>
  <sheetViews>
    <sheetView tabSelected="1" topLeftCell="R1" zoomScale="82" zoomScaleNormal="82" workbookViewId="0">
      <selection activeCell="X12" sqref="X12"/>
    </sheetView>
  </sheetViews>
  <sheetFormatPr defaultRowHeight="18" x14ac:dyDescent="0.35"/>
  <cols>
    <col min="1" max="1" width="8.8984375" style="64" bestFit="1" customWidth="1"/>
    <col min="2" max="6" width="10.296875" style="64" customWidth="1"/>
    <col min="7" max="7" width="11.69921875" style="64" customWidth="1"/>
    <col min="8" max="19" width="10.296875" style="64" customWidth="1"/>
    <col min="20" max="20" width="9.8984375" style="64" bestFit="1" customWidth="1"/>
    <col min="21" max="21" width="12.09765625" style="64" bestFit="1" customWidth="1"/>
    <col min="22" max="22" width="9.8984375" style="64" bestFit="1" customWidth="1"/>
    <col min="23" max="23" width="12.09765625" style="64" bestFit="1" customWidth="1"/>
    <col min="24" max="24" width="9.8984375" style="64" bestFit="1" customWidth="1"/>
    <col min="25" max="25" width="12.09765625" style="64" bestFit="1" customWidth="1"/>
    <col min="26" max="27" width="11.3984375" style="64" bestFit="1" customWidth="1"/>
    <col min="28" max="16384" width="8.796875" style="64"/>
  </cols>
  <sheetData>
    <row r="1" spans="1:27" x14ac:dyDescent="0.35">
      <c r="A1" s="217" t="s">
        <v>111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  <c r="AA1" s="217"/>
    </row>
    <row r="2" spans="1:27" x14ac:dyDescent="0.35">
      <c r="A2" s="204"/>
      <c r="B2" s="93" t="s">
        <v>81</v>
      </c>
      <c r="C2" s="94"/>
      <c r="D2" s="95" t="s">
        <v>82</v>
      </c>
      <c r="E2" s="96"/>
      <c r="F2" s="95" t="s">
        <v>83</v>
      </c>
      <c r="G2" s="97"/>
      <c r="H2" s="98" t="s">
        <v>84</v>
      </c>
      <c r="I2" s="96"/>
      <c r="J2" s="98" t="s">
        <v>85</v>
      </c>
      <c r="K2" s="96"/>
      <c r="L2" s="98" t="s">
        <v>86</v>
      </c>
      <c r="M2" s="96"/>
      <c r="N2" s="98" t="s">
        <v>87</v>
      </c>
      <c r="O2" s="96"/>
      <c r="P2" s="98" t="s">
        <v>88</v>
      </c>
      <c r="Q2" s="96"/>
      <c r="R2" s="98" t="s">
        <v>90</v>
      </c>
      <c r="S2" s="96"/>
      <c r="T2" s="98" t="s">
        <v>89</v>
      </c>
      <c r="U2" s="96"/>
      <c r="V2" s="98" t="s">
        <v>78</v>
      </c>
      <c r="W2" s="96"/>
      <c r="X2" s="98" t="s">
        <v>79</v>
      </c>
      <c r="Y2" s="96"/>
      <c r="Z2" s="218" t="s">
        <v>80</v>
      </c>
      <c r="AA2" s="219"/>
    </row>
    <row r="3" spans="1:27" x14ac:dyDescent="0.35">
      <c r="A3" s="205"/>
      <c r="B3" s="99" t="s">
        <v>40</v>
      </c>
      <c r="C3" s="99" t="s">
        <v>41</v>
      </c>
      <c r="D3" s="99" t="s">
        <v>40</v>
      </c>
      <c r="E3" s="99" t="s">
        <v>41</v>
      </c>
      <c r="F3" s="99" t="s">
        <v>40</v>
      </c>
      <c r="G3" s="99" t="s">
        <v>41</v>
      </c>
      <c r="H3" s="99" t="s">
        <v>40</v>
      </c>
      <c r="I3" s="99" t="s">
        <v>41</v>
      </c>
      <c r="J3" s="99" t="s">
        <v>40</v>
      </c>
      <c r="K3" s="99" t="s">
        <v>41</v>
      </c>
      <c r="L3" s="99" t="s">
        <v>40</v>
      </c>
      <c r="M3" s="99" t="s">
        <v>41</v>
      </c>
      <c r="N3" s="99" t="s">
        <v>40</v>
      </c>
      <c r="O3" s="99" t="s">
        <v>41</v>
      </c>
      <c r="P3" s="99" t="s">
        <v>40</v>
      </c>
      <c r="Q3" s="99" t="s">
        <v>41</v>
      </c>
      <c r="R3" s="99" t="s">
        <v>40</v>
      </c>
      <c r="S3" s="99" t="s">
        <v>41</v>
      </c>
      <c r="T3" s="99" t="s">
        <v>40</v>
      </c>
      <c r="U3" s="99" t="s">
        <v>41</v>
      </c>
      <c r="V3" s="99" t="s">
        <v>40</v>
      </c>
      <c r="W3" s="99" t="s">
        <v>41</v>
      </c>
      <c r="X3" s="99" t="s">
        <v>40</v>
      </c>
      <c r="Y3" s="99" t="s">
        <v>41</v>
      </c>
      <c r="Z3" s="99" t="s">
        <v>40</v>
      </c>
      <c r="AA3" s="99" t="s">
        <v>92</v>
      </c>
    </row>
    <row r="4" spans="1:27" x14ac:dyDescent="0.35">
      <c r="A4" s="100">
        <v>2566</v>
      </c>
      <c r="B4" s="47">
        <v>108000</v>
      </c>
      <c r="C4" s="47">
        <v>564363.73</v>
      </c>
      <c r="D4" s="47">
        <v>125000</v>
      </c>
      <c r="E4" s="47">
        <v>669731.36</v>
      </c>
      <c r="F4" s="47">
        <v>102000</v>
      </c>
      <c r="G4" s="107">
        <v>540176.29</v>
      </c>
      <c r="H4" s="47">
        <v>95000</v>
      </c>
      <c r="I4" s="107">
        <v>568366.6</v>
      </c>
      <c r="J4" s="47">
        <v>105000</v>
      </c>
      <c r="K4" s="107">
        <v>644519.23</v>
      </c>
      <c r="L4" s="47">
        <v>138000</v>
      </c>
      <c r="M4" s="107">
        <v>831248.76</v>
      </c>
      <c r="N4" s="47">
        <v>135000</v>
      </c>
      <c r="O4" s="107">
        <v>824905.31</v>
      </c>
      <c r="P4" s="47">
        <v>162000</v>
      </c>
      <c r="Q4" s="107">
        <v>880097</v>
      </c>
      <c r="R4" s="47">
        <v>157000</v>
      </c>
      <c r="S4" s="49">
        <v>839732.83</v>
      </c>
      <c r="T4" s="47">
        <v>148000</v>
      </c>
      <c r="U4" s="107">
        <v>779882.43</v>
      </c>
      <c r="V4" s="47">
        <v>145000</v>
      </c>
      <c r="W4" s="107">
        <v>767427.45</v>
      </c>
      <c r="X4" s="47">
        <v>148000</v>
      </c>
      <c r="Y4" s="49">
        <v>750423.96</v>
      </c>
      <c r="Z4" s="47">
        <f t="shared" ref="Z4" si="0">+B4+D4+F4+H4+J4+L4+N4+P4+R4+T4+V4+X4</f>
        <v>1568000</v>
      </c>
      <c r="AA4" s="47">
        <f t="shared" ref="AA4" si="1">+C4+E4+G4+I4+K4+M4+O4+Q4+S4+U4+W4+Y4</f>
        <v>8660874.9499999993</v>
      </c>
    </row>
    <row r="5" spans="1:27" x14ac:dyDescent="0.35">
      <c r="A5" s="100">
        <v>2567</v>
      </c>
      <c r="B5" s="47">
        <v>132000</v>
      </c>
      <c r="C5" s="47">
        <v>516904.84</v>
      </c>
      <c r="D5" s="47">
        <v>127000</v>
      </c>
      <c r="E5" s="47">
        <v>581568.56000000006</v>
      </c>
      <c r="F5" s="47">
        <v>119000</v>
      </c>
      <c r="G5" s="107">
        <v>552014.48</v>
      </c>
      <c r="H5" s="106">
        <v>133138</v>
      </c>
      <c r="I5" s="47">
        <v>634132.5</v>
      </c>
      <c r="J5" s="47">
        <v>133629</v>
      </c>
      <c r="K5" s="47">
        <v>655081.61</v>
      </c>
      <c r="L5" s="47">
        <v>156823</v>
      </c>
      <c r="M5" s="47">
        <v>755665.26</v>
      </c>
      <c r="N5" s="47">
        <v>153424</v>
      </c>
      <c r="O5" s="47">
        <v>757679.3</v>
      </c>
      <c r="P5" s="47">
        <v>168580</v>
      </c>
      <c r="Q5" s="47">
        <v>817195.27</v>
      </c>
      <c r="R5" s="47">
        <v>143409</v>
      </c>
      <c r="S5" s="47">
        <v>695094.22</v>
      </c>
      <c r="T5" s="47">
        <v>138423</v>
      </c>
      <c r="U5" s="47">
        <v>680286.11</v>
      </c>
      <c r="V5" s="47">
        <v>136506</v>
      </c>
      <c r="W5" s="47">
        <v>660884.54</v>
      </c>
      <c r="X5" s="47">
        <v>126311</v>
      </c>
      <c r="Y5" s="47">
        <v>610423.62</v>
      </c>
      <c r="Z5" s="47">
        <f t="shared" ref="Z5:AA7" si="2">+B5+D5+F5+H5+J5+L5+N5+P5+R5+T5+V5+X5</f>
        <v>1668243</v>
      </c>
      <c r="AA5" s="47">
        <f t="shared" si="2"/>
        <v>7916930.3100000005</v>
      </c>
    </row>
    <row r="6" spans="1:27" x14ac:dyDescent="0.35">
      <c r="A6" s="100">
        <v>2568</v>
      </c>
      <c r="B6" s="112">
        <v>130337</v>
      </c>
      <c r="C6" s="112">
        <v>640565.63</v>
      </c>
      <c r="D6" s="112">
        <v>130274</v>
      </c>
      <c r="E6" s="112">
        <v>629687.77</v>
      </c>
      <c r="F6" s="112">
        <v>103224</v>
      </c>
      <c r="G6" s="174">
        <v>484307.1</v>
      </c>
      <c r="H6" s="112">
        <v>99299</v>
      </c>
      <c r="I6" s="174">
        <v>470854.1</v>
      </c>
      <c r="J6" s="112">
        <v>108144</v>
      </c>
      <c r="K6" s="174">
        <v>521938.32</v>
      </c>
      <c r="L6" s="112">
        <v>128181</v>
      </c>
      <c r="M6" s="112">
        <v>617057.38</v>
      </c>
      <c r="N6" s="112">
        <v>133214</v>
      </c>
      <c r="O6" s="112">
        <v>648687.80000000005</v>
      </c>
      <c r="P6" s="112">
        <v>138252</v>
      </c>
      <c r="Q6" s="112">
        <v>634454.77</v>
      </c>
      <c r="R6" s="47">
        <v>137368</v>
      </c>
      <c r="S6" s="49">
        <v>635923.46</v>
      </c>
      <c r="T6" s="112">
        <v>135303</v>
      </c>
      <c r="U6" s="112">
        <v>619817.25</v>
      </c>
      <c r="V6" s="112">
        <v>139626</v>
      </c>
      <c r="W6" s="112">
        <v>641781.69999999995</v>
      </c>
      <c r="X6" s="112">
        <v>130386</v>
      </c>
      <c r="Y6" s="112">
        <v>595238.81999999995</v>
      </c>
      <c r="Z6" s="47">
        <f t="shared" si="2"/>
        <v>1513608</v>
      </c>
      <c r="AA6" s="47">
        <f t="shared" si="2"/>
        <v>7140314.0999999996</v>
      </c>
    </row>
    <row r="7" spans="1:27" x14ac:dyDescent="0.35">
      <c r="A7" s="100">
        <v>2569</v>
      </c>
      <c r="B7" s="112">
        <v>119286</v>
      </c>
      <c r="C7" s="112">
        <v>546797.71</v>
      </c>
      <c r="D7" s="112">
        <v>103371</v>
      </c>
      <c r="E7" s="112">
        <v>467278.73</v>
      </c>
      <c r="F7" s="112">
        <v>103418</v>
      </c>
      <c r="G7" s="174">
        <v>470131.34</v>
      </c>
      <c r="H7" s="112">
        <v>100403</v>
      </c>
      <c r="I7" s="174">
        <v>449273.28</v>
      </c>
      <c r="J7" s="112"/>
      <c r="K7" s="174"/>
      <c r="L7" s="112"/>
      <c r="M7" s="112"/>
      <c r="N7" s="112"/>
      <c r="O7" s="112"/>
      <c r="P7" s="112"/>
      <c r="Q7" s="112"/>
      <c r="R7" s="112"/>
      <c r="S7" s="173"/>
      <c r="T7" s="112"/>
      <c r="U7" s="112"/>
      <c r="V7" s="112"/>
      <c r="W7" s="112"/>
      <c r="X7" s="112"/>
      <c r="Y7" s="112"/>
      <c r="Z7" s="47">
        <f>+B7+D7+F7+H7+J7+L7+N7+P7+R7+T7+V7+X7</f>
        <v>426478</v>
      </c>
      <c r="AA7" s="47">
        <f>+C7+E7+G7+I7+K7+M7+O7+Q7+S7+U7+W7+Y7</f>
        <v>1933481.06</v>
      </c>
    </row>
    <row r="8" spans="1:27" ht="18.600000000000001" thickBot="1" x14ac:dyDescent="0.4">
      <c r="A8" s="101" t="s">
        <v>38</v>
      </c>
      <c r="B8" s="102">
        <f>SUM(B4:B7)</f>
        <v>489623</v>
      </c>
      <c r="C8" s="102">
        <f t="shared" ref="C8:AA8" si="3">SUM(C4:C7)</f>
        <v>2268631.91</v>
      </c>
      <c r="D8" s="102">
        <f t="shared" si="3"/>
        <v>485645</v>
      </c>
      <c r="E8" s="102">
        <f t="shared" si="3"/>
        <v>2348266.42</v>
      </c>
      <c r="F8" s="102">
        <f t="shared" si="3"/>
        <v>427642</v>
      </c>
      <c r="G8" s="102">
        <f t="shared" si="3"/>
        <v>2046629.2100000002</v>
      </c>
      <c r="H8" s="102">
        <f t="shared" si="3"/>
        <v>427840</v>
      </c>
      <c r="I8" s="102">
        <f t="shared" si="3"/>
        <v>2122626.4800000004</v>
      </c>
      <c r="J8" s="102">
        <f t="shared" si="3"/>
        <v>346773</v>
      </c>
      <c r="K8" s="102">
        <f t="shared" si="3"/>
        <v>1821539.16</v>
      </c>
      <c r="L8" s="102">
        <f t="shared" si="3"/>
        <v>423004</v>
      </c>
      <c r="M8" s="102">
        <f t="shared" si="3"/>
        <v>2203971.4</v>
      </c>
      <c r="N8" s="102">
        <f t="shared" si="3"/>
        <v>421638</v>
      </c>
      <c r="O8" s="102">
        <f t="shared" si="3"/>
        <v>2231272.41</v>
      </c>
      <c r="P8" s="102">
        <f t="shared" si="3"/>
        <v>468832</v>
      </c>
      <c r="Q8" s="102">
        <f t="shared" si="3"/>
        <v>2331747.04</v>
      </c>
      <c r="R8" s="102">
        <f t="shared" si="3"/>
        <v>437777</v>
      </c>
      <c r="S8" s="102">
        <f t="shared" si="3"/>
        <v>2170750.5099999998</v>
      </c>
      <c r="T8" s="102">
        <f t="shared" si="3"/>
        <v>421726</v>
      </c>
      <c r="U8" s="102">
        <f t="shared" si="3"/>
        <v>2079985.79</v>
      </c>
      <c r="V8" s="102">
        <f t="shared" si="3"/>
        <v>421132</v>
      </c>
      <c r="W8" s="102">
        <f t="shared" si="3"/>
        <v>2070093.69</v>
      </c>
      <c r="X8" s="102">
        <f t="shared" si="3"/>
        <v>404697</v>
      </c>
      <c r="Y8" s="102">
        <f t="shared" si="3"/>
        <v>1956086.4</v>
      </c>
      <c r="Z8" s="102">
        <f>SUM(Z4:Z7)</f>
        <v>5176329</v>
      </c>
      <c r="AA8" s="102">
        <f>SUM(AA4:AA7)</f>
        <v>25651600.419999998</v>
      </c>
    </row>
    <row r="9" spans="1:27" ht="18.600000000000001" thickTop="1" x14ac:dyDescent="0.35">
      <c r="A9" s="64" t="s">
        <v>96</v>
      </c>
      <c r="H9" s="169"/>
      <c r="I9" s="169"/>
      <c r="J9" s="169"/>
      <c r="K9" s="169"/>
      <c r="L9" s="169"/>
      <c r="M9" s="169"/>
      <c r="N9" s="169"/>
      <c r="O9" s="169"/>
      <c r="P9" s="170"/>
      <c r="Q9" s="170"/>
      <c r="R9" s="170"/>
      <c r="S9" s="170"/>
      <c r="T9" s="171"/>
      <c r="U9" s="171"/>
      <c r="V9" s="170"/>
      <c r="W9" s="170"/>
      <c r="X9" s="170"/>
      <c r="Y9" s="170"/>
      <c r="Z9" s="172"/>
      <c r="AA9" s="172"/>
    </row>
    <row r="10" spans="1:27" x14ac:dyDescent="0.35"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</row>
    <row r="11" spans="1:27" x14ac:dyDescent="0.35"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AA11" s="108"/>
    </row>
    <row r="12" spans="1:27" x14ac:dyDescent="0.35"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</row>
  </sheetData>
  <mergeCells count="3">
    <mergeCell ref="A1:AA1"/>
    <mergeCell ref="A2:A3"/>
    <mergeCell ref="Z2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ภาพรวม</vt:lpstr>
      <vt:lpstr>บางมด</vt:lpstr>
      <vt:lpstr>บางขุนเทียน</vt:lpstr>
      <vt:lpstr>ราชบุรี</vt:lpstr>
      <vt:lpstr>KX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LINDA RUENGPANICH</cp:lastModifiedBy>
  <cp:lastPrinted>2025-07-03T08:44:15Z</cp:lastPrinted>
  <dcterms:created xsi:type="dcterms:W3CDTF">2022-02-23T02:06:18Z</dcterms:created>
  <dcterms:modified xsi:type="dcterms:W3CDTF">2026-02-25T07:27:30Z</dcterms:modified>
</cp:coreProperties>
</file>